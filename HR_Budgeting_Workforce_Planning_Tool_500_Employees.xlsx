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516" windowWidth="18876" windowHeight="8940"/>
  </bookViews>
  <sheets>
    <sheet name="Sheet4" sheetId="6" r:id="rId1"/>
    <sheet name="Employee_Data" sheetId="1" r:id="rId2"/>
    <sheet name="Workforce_Plan" sheetId="2" r:id="rId3"/>
    <sheet name="Workforce_KPIs" sheetId="3" r:id="rId4"/>
    <sheet name="Sheet3" sheetId="5" r:id="rId5"/>
    <sheet name="Budget_vs_Actual" sheetId="4" r:id="rId6"/>
  </sheets>
  <definedNames>
    <definedName name="_xlnm._FilterDatabase" localSheetId="1" hidden="1">Employee_Data!$A$1:$H$501</definedName>
    <definedName name="_xlnm._FilterDatabase" localSheetId="2" hidden="1">Workforce_Plan!$A$1:$G$6</definedName>
  </definedNames>
  <calcPr calcId="124519"/>
  <pivotCaches>
    <pivotCache cacheId="2" r:id="rId7"/>
    <pivotCache cacheId="6" r:id="rId8"/>
  </pivotCaches>
  <fileRecoveryPr repairLoad="1"/>
</workbook>
</file>

<file path=xl/calcChain.xml><?xml version="1.0" encoding="utf-8"?>
<calcChain xmlns="http://schemas.openxmlformats.org/spreadsheetml/2006/main">
  <c r="B3" i="4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K50"/>
  <c r="K62"/>
  <c r="K79"/>
  <c r="K86"/>
  <c r="K223"/>
  <c r="K367"/>
  <c r="J8"/>
  <c r="J9"/>
  <c r="J19"/>
  <c r="K19" s="1"/>
  <c r="J20"/>
  <c r="J21"/>
  <c r="J32"/>
  <c r="J33"/>
  <c r="J44"/>
  <c r="J45"/>
  <c r="J48"/>
  <c r="J55"/>
  <c r="K55" s="1"/>
  <c r="J56"/>
  <c r="J57"/>
  <c r="J68"/>
  <c r="J69"/>
  <c r="J72"/>
  <c r="J79"/>
  <c r="J80"/>
  <c r="J81"/>
  <c r="J92"/>
  <c r="J93"/>
  <c r="J104"/>
  <c r="J105"/>
  <c r="J106"/>
  <c r="J108"/>
  <c r="J116"/>
  <c r="J117"/>
  <c r="J128"/>
  <c r="J129"/>
  <c r="J132"/>
  <c r="K132" s="1"/>
  <c r="J139"/>
  <c r="K139" s="1"/>
  <c r="J140"/>
  <c r="J141"/>
  <c r="J152"/>
  <c r="J153"/>
  <c r="J163"/>
  <c r="K163" s="1"/>
  <c r="J164"/>
  <c r="J165"/>
  <c r="J176"/>
  <c r="J177"/>
  <c r="J188"/>
  <c r="J189"/>
  <c r="J192"/>
  <c r="J199"/>
  <c r="K199" s="1"/>
  <c r="J200"/>
  <c r="J201"/>
  <c r="J212"/>
  <c r="J213"/>
  <c r="J216"/>
  <c r="J223"/>
  <c r="J224"/>
  <c r="J225"/>
  <c r="J236"/>
  <c r="J237"/>
  <c r="J248"/>
  <c r="J249"/>
  <c r="J250"/>
  <c r="J252"/>
  <c r="J260"/>
  <c r="J261"/>
  <c r="J272"/>
  <c r="J273"/>
  <c r="J276"/>
  <c r="K276" s="1"/>
  <c r="J283"/>
  <c r="K283" s="1"/>
  <c r="J284"/>
  <c r="J285"/>
  <c r="J296"/>
  <c r="J297"/>
  <c r="J307"/>
  <c r="K307" s="1"/>
  <c r="J308"/>
  <c r="J309"/>
  <c r="J320"/>
  <c r="J321"/>
  <c r="J332"/>
  <c r="J333"/>
  <c r="J336"/>
  <c r="J343"/>
  <c r="K343" s="1"/>
  <c r="J344"/>
  <c r="J345"/>
  <c r="J356"/>
  <c r="J357"/>
  <c r="J360"/>
  <c r="J367"/>
  <c r="J368"/>
  <c r="J369"/>
  <c r="J380"/>
  <c r="J381"/>
  <c r="J392"/>
  <c r="J393"/>
  <c r="J394"/>
  <c r="J396"/>
  <c r="J404"/>
  <c r="J405"/>
  <c r="J416"/>
  <c r="J417"/>
  <c r="J420"/>
  <c r="K420" s="1"/>
  <c r="J427"/>
  <c r="K427" s="1"/>
  <c r="J428"/>
  <c r="J429"/>
  <c r="J440"/>
  <c r="J441"/>
  <c r="J451"/>
  <c r="K451" s="1"/>
  <c r="J452"/>
  <c r="J453"/>
  <c r="J464"/>
  <c r="J465"/>
  <c r="J476"/>
  <c r="J477"/>
  <c r="J480"/>
  <c r="J487"/>
  <c r="K487" s="1"/>
  <c r="J488"/>
  <c r="J489"/>
  <c r="J500"/>
  <c r="J501"/>
  <c r="I5"/>
  <c r="I12"/>
  <c r="I13"/>
  <c r="I14"/>
  <c r="K14" s="1"/>
  <c r="I25"/>
  <c r="I26"/>
  <c r="K26" s="1"/>
  <c r="I37"/>
  <c r="I38"/>
  <c r="I39"/>
  <c r="I41"/>
  <c r="I49"/>
  <c r="I50"/>
  <c r="I61"/>
  <c r="I62"/>
  <c r="I65"/>
  <c r="I72"/>
  <c r="I73"/>
  <c r="I74"/>
  <c r="I85"/>
  <c r="I86"/>
  <c r="I96"/>
  <c r="I97"/>
  <c r="I98"/>
  <c r="K98" s="1"/>
  <c r="I109"/>
  <c r="I110"/>
  <c r="I121"/>
  <c r="I122"/>
  <c r="K122" s="1"/>
  <c r="I125"/>
  <c r="I132"/>
  <c r="I133"/>
  <c r="I145"/>
  <c r="I149"/>
  <c r="I156"/>
  <c r="I157"/>
  <c r="I169"/>
  <c r="I181"/>
  <c r="I183"/>
  <c r="I185"/>
  <c r="I193"/>
  <c r="I205"/>
  <c r="I209"/>
  <c r="I216"/>
  <c r="I217"/>
  <c r="I229"/>
  <c r="I240"/>
  <c r="I241"/>
  <c r="I253"/>
  <c r="I265"/>
  <c r="I269"/>
  <c r="I276"/>
  <c r="I277"/>
  <c r="I289"/>
  <c r="I293"/>
  <c r="I300"/>
  <c r="I301"/>
  <c r="I313"/>
  <c r="I325"/>
  <c r="I327"/>
  <c r="I329"/>
  <c r="I337"/>
  <c r="I349"/>
  <c r="I353"/>
  <c r="I360"/>
  <c r="I361"/>
  <c r="I373"/>
  <c r="I384"/>
  <c r="I385"/>
  <c r="I397"/>
  <c r="I409"/>
  <c r="I413"/>
  <c r="I420"/>
  <c r="I421"/>
  <c r="I433"/>
  <c r="I437"/>
  <c r="I444"/>
  <c r="I445"/>
  <c r="I457"/>
  <c r="I469"/>
  <c r="I471"/>
  <c r="I473"/>
  <c r="I481"/>
  <c r="I493"/>
  <c r="I497"/>
  <c r="H5"/>
  <c r="H6"/>
  <c r="H7"/>
  <c r="H19"/>
  <c r="H29"/>
  <c r="H30"/>
  <c r="H31"/>
  <c r="H32"/>
  <c r="H43"/>
  <c r="H55"/>
  <c r="H56"/>
  <c r="H58"/>
  <c r="H65"/>
  <c r="H67"/>
  <c r="H79"/>
  <c r="H82"/>
  <c r="H89"/>
  <c r="H90"/>
  <c r="H91"/>
  <c r="H103"/>
  <c r="H114"/>
  <c r="H115"/>
  <c r="H116"/>
  <c r="H127"/>
  <c r="H139"/>
  <c r="H140"/>
  <c r="H142"/>
  <c r="H149"/>
  <c r="H150"/>
  <c r="H151"/>
  <c r="H163"/>
  <c r="H173"/>
  <c r="H174"/>
  <c r="H175"/>
  <c r="H176"/>
  <c r="H187"/>
  <c r="H199"/>
  <c r="H200"/>
  <c r="H202"/>
  <c r="H209"/>
  <c r="H211"/>
  <c r="H223"/>
  <c r="H226"/>
  <c r="H233"/>
  <c r="H234"/>
  <c r="H235"/>
  <c r="H247"/>
  <c r="H258"/>
  <c r="H259"/>
  <c r="H260"/>
  <c r="H271"/>
  <c r="H283"/>
  <c r="H284"/>
  <c r="H286"/>
  <c r="H293"/>
  <c r="H294"/>
  <c r="H295"/>
  <c r="H307"/>
  <c r="H317"/>
  <c r="H318"/>
  <c r="H319"/>
  <c r="H320"/>
  <c r="H331"/>
  <c r="H343"/>
  <c r="H344"/>
  <c r="H346"/>
  <c r="H347"/>
  <c r="H355"/>
  <c r="H367"/>
  <c r="H368"/>
  <c r="H370"/>
  <c r="H371"/>
  <c r="H379"/>
  <c r="H391"/>
  <c r="H392"/>
  <c r="H394"/>
  <c r="H395"/>
  <c r="H403"/>
  <c r="H415"/>
  <c r="H416"/>
  <c r="H418"/>
  <c r="H419"/>
  <c r="H427"/>
  <c r="H439"/>
  <c r="H440"/>
  <c r="H442"/>
  <c r="H443"/>
  <c r="H451"/>
  <c r="H463"/>
  <c r="H464"/>
  <c r="H466"/>
  <c r="H467"/>
  <c r="H475"/>
  <c r="H487"/>
  <c r="H488"/>
  <c r="H490"/>
  <c r="H491"/>
  <c r="H499"/>
  <c r="G3"/>
  <c r="G4"/>
  <c r="G5"/>
  <c r="G6"/>
  <c r="G7"/>
  <c r="G8"/>
  <c r="G9"/>
  <c r="H9" s="1"/>
  <c r="G10"/>
  <c r="H10" s="1"/>
  <c r="G11"/>
  <c r="G12"/>
  <c r="H12" s="1"/>
  <c r="G13"/>
  <c r="H13" s="1"/>
  <c r="G14"/>
  <c r="H14" s="1"/>
  <c r="G15"/>
  <c r="G16"/>
  <c r="G17"/>
  <c r="G18"/>
  <c r="G19"/>
  <c r="G20"/>
  <c r="G21"/>
  <c r="H21" s="1"/>
  <c r="G22"/>
  <c r="J22" s="1"/>
  <c r="K22" s="1"/>
  <c r="G23"/>
  <c r="G24"/>
  <c r="H24" s="1"/>
  <c r="G25"/>
  <c r="H25" s="1"/>
  <c r="G26"/>
  <c r="H26" s="1"/>
  <c r="G27"/>
  <c r="G28"/>
  <c r="G29"/>
  <c r="G30"/>
  <c r="G31"/>
  <c r="G32"/>
  <c r="G33"/>
  <c r="H33" s="1"/>
  <c r="G34"/>
  <c r="J34" s="1"/>
  <c r="K34" s="1"/>
  <c r="G35"/>
  <c r="G36"/>
  <c r="H36" s="1"/>
  <c r="G37"/>
  <c r="H37" s="1"/>
  <c r="G38"/>
  <c r="H38" s="1"/>
  <c r="G39"/>
  <c r="G40"/>
  <c r="G41"/>
  <c r="G42"/>
  <c r="G43"/>
  <c r="G44"/>
  <c r="G45"/>
  <c r="H45" s="1"/>
  <c r="G46"/>
  <c r="H46" s="1"/>
  <c r="G47"/>
  <c r="G48"/>
  <c r="H48" s="1"/>
  <c r="G49"/>
  <c r="H49" s="1"/>
  <c r="G50"/>
  <c r="H50" s="1"/>
  <c r="G51"/>
  <c r="G52"/>
  <c r="G53"/>
  <c r="G54"/>
  <c r="G55"/>
  <c r="G56"/>
  <c r="G57"/>
  <c r="H57" s="1"/>
  <c r="G58"/>
  <c r="J58" s="1"/>
  <c r="K58" s="1"/>
  <c r="G59"/>
  <c r="G60"/>
  <c r="H60" s="1"/>
  <c r="G61"/>
  <c r="H61" s="1"/>
  <c r="G62"/>
  <c r="H62" s="1"/>
  <c r="G63"/>
  <c r="G64"/>
  <c r="G65"/>
  <c r="G66"/>
  <c r="G67"/>
  <c r="G68"/>
  <c r="G69"/>
  <c r="H69" s="1"/>
  <c r="G70"/>
  <c r="H70" s="1"/>
  <c r="G71"/>
  <c r="G72"/>
  <c r="H72" s="1"/>
  <c r="G73"/>
  <c r="H73" s="1"/>
  <c r="G74"/>
  <c r="H74" s="1"/>
  <c r="G75"/>
  <c r="G76"/>
  <c r="G77"/>
  <c r="G78"/>
  <c r="G79"/>
  <c r="G80"/>
  <c r="G81"/>
  <c r="H81" s="1"/>
  <c r="G82"/>
  <c r="J82" s="1"/>
  <c r="K82" s="1"/>
  <c r="G83"/>
  <c r="G84"/>
  <c r="H84" s="1"/>
  <c r="G85"/>
  <c r="H85" s="1"/>
  <c r="G86"/>
  <c r="H86" s="1"/>
  <c r="G87"/>
  <c r="G88"/>
  <c r="G89"/>
  <c r="G90"/>
  <c r="G91"/>
  <c r="G92"/>
  <c r="G93"/>
  <c r="H93" s="1"/>
  <c r="G94"/>
  <c r="J94" s="1"/>
  <c r="K94" s="1"/>
  <c r="G95"/>
  <c r="G96"/>
  <c r="H96" s="1"/>
  <c r="G97"/>
  <c r="H97" s="1"/>
  <c r="G98"/>
  <c r="H98" s="1"/>
  <c r="G99"/>
  <c r="G100"/>
  <c r="G101"/>
  <c r="G102"/>
  <c r="G103"/>
  <c r="G104"/>
  <c r="G105"/>
  <c r="H105" s="1"/>
  <c r="G106"/>
  <c r="H106" s="1"/>
  <c r="G107"/>
  <c r="G108"/>
  <c r="H108" s="1"/>
  <c r="G109"/>
  <c r="H109" s="1"/>
  <c r="G110"/>
  <c r="H110" s="1"/>
  <c r="G111"/>
  <c r="G112"/>
  <c r="G113"/>
  <c r="G114"/>
  <c r="G115"/>
  <c r="G116"/>
  <c r="G117"/>
  <c r="H117" s="1"/>
  <c r="G118"/>
  <c r="J118" s="1"/>
  <c r="K118" s="1"/>
  <c r="G119"/>
  <c r="G120"/>
  <c r="H120" s="1"/>
  <c r="G121"/>
  <c r="H121" s="1"/>
  <c r="G122"/>
  <c r="H122" s="1"/>
  <c r="G123"/>
  <c r="G124"/>
  <c r="G125"/>
  <c r="G126"/>
  <c r="G127"/>
  <c r="G128"/>
  <c r="G129"/>
  <c r="H129" s="1"/>
  <c r="G130"/>
  <c r="H130" s="1"/>
  <c r="G131"/>
  <c r="G132"/>
  <c r="H132" s="1"/>
  <c r="G133"/>
  <c r="H133" s="1"/>
  <c r="G134"/>
  <c r="G135"/>
  <c r="G136"/>
  <c r="G137"/>
  <c r="G138"/>
  <c r="G139"/>
  <c r="G140"/>
  <c r="G141"/>
  <c r="H141" s="1"/>
  <c r="G142"/>
  <c r="J142" s="1"/>
  <c r="K142" s="1"/>
  <c r="G143"/>
  <c r="G144"/>
  <c r="H144" s="1"/>
  <c r="G145"/>
  <c r="H145" s="1"/>
  <c r="G146"/>
  <c r="G147"/>
  <c r="G148"/>
  <c r="G149"/>
  <c r="G150"/>
  <c r="G151"/>
  <c r="G152"/>
  <c r="G153"/>
  <c r="H153" s="1"/>
  <c r="G154"/>
  <c r="H154" s="1"/>
  <c r="G155"/>
  <c r="G156"/>
  <c r="H156" s="1"/>
  <c r="G157"/>
  <c r="H157" s="1"/>
  <c r="G158"/>
  <c r="G159"/>
  <c r="G160"/>
  <c r="G161"/>
  <c r="G162"/>
  <c r="G163"/>
  <c r="G164"/>
  <c r="G165"/>
  <c r="H165" s="1"/>
  <c r="G166"/>
  <c r="J166" s="1"/>
  <c r="K166" s="1"/>
  <c r="G167"/>
  <c r="G168"/>
  <c r="H168" s="1"/>
  <c r="G169"/>
  <c r="H169" s="1"/>
  <c r="G170"/>
  <c r="G171"/>
  <c r="G172"/>
  <c r="G173"/>
  <c r="G174"/>
  <c r="G175"/>
  <c r="G176"/>
  <c r="G177"/>
  <c r="H177" s="1"/>
  <c r="G178"/>
  <c r="J178" s="1"/>
  <c r="K178" s="1"/>
  <c r="G179"/>
  <c r="G180"/>
  <c r="H180" s="1"/>
  <c r="G181"/>
  <c r="H181" s="1"/>
  <c r="G182"/>
  <c r="G183"/>
  <c r="G184"/>
  <c r="G185"/>
  <c r="G186"/>
  <c r="G187"/>
  <c r="G188"/>
  <c r="G189"/>
  <c r="H189" s="1"/>
  <c r="G190"/>
  <c r="H190" s="1"/>
  <c r="G191"/>
  <c r="G192"/>
  <c r="H192" s="1"/>
  <c r="G193"/>
  <c r="H193" s="1"/>
  <c r="G194"/>
  <c r="G195"/>
  <c r="G196"/>
  <c r="G197"/>
  <c r="G198"/>
  <c r="G199"/>
  <c r="G200"/>
  <c r="G201"/>
  <c r="H201" s="1"/>
  <c r="G202"/>
  <c r="J202" s="1"/>
  <c r="K202" s="1"/>
  <c r="G203"/>
  <c r="G204"/>
  <c r="H204" s="1"/>
  <c r="G205"/>
  <c r="H205" s="1"/>
  <c r="G206"/>
  <c r="G207"/>
  <c r="G208"/>
  <c r="G209"/>
  <c r="G210"/>
  <c r="G211"/>
  <c r="G212"/>
  <c r="G213"/>
  <c r="H213" s="1"/>
  <c r="G214"/>
  <c r="H214" s="1"/>
  <c r="G215"/>
  <c r="G216"/>
  <c r="H216" s="1"/>
  <c r="G217"/>
  <c r="H217" s="1"/>
  <c r="G218"/>
  <c r="G219"/>
  <c r="G220"/>
  <c r="G221"/>
  <c r="G222"/>
  <c r="G223"/>
  <c r="G224"/>
  <c r="G225"/>
  <c r="H225" s="1"/>
  <c r="G226"/>
  <c r="J226" s="1"/>
  <c r="K226" s="1"/>
  <c r="G227"/>
  <c r="G228"/>
  <c r="H228" s="1"/>
  <c r="G229"/>
  <c r="H229" s="1"/>
  <c r="G230"/>
  <c r="G231"/>
  <c r="G232"/>
  <c r="G233"/>
  <c r="G234"/>
  <c r="G235"/>
  <c r="G236"/>
  <c r="G237"/>
  <c r="H237" s="1"/>
  <c r="G238"/>
  <c r="J238" s="1"/>
  <c r="K238" s="1"/>
  <c r="G239"/>
  <c r="G240"/>
  <c r="H240" s="1"/>
  <c r="G241"/>
  <c r="H241" s="1"/>
  <c r="G242"/>
  <c r="G243"/>
  <c r="G244"/>
  <c r="G245"/>
  <c r="G246"/>
  <c r="G247"/>
  <c r="G248"/>
  <c r="G249"/>
  <c r="H249" s="1"/>
  <c r="G250"/>
  <c r="H250" s="1"/>
  <c r="G251"/>
  <c r="G252"/>
  <c r="H252" s="1"/>
  <c r="G253"/>
  <c r="H253" s="1"/>
  <c r="G254"/>
  <c r="G255"/>
  <c r="G256"/>
  <c r="G257"/>
  <c r="G258"/>
  <c r="G259"/>
  <c r="G260"/>
  <c r="G261"/>
  <c r="H261" s="1"/>
  <c r="G262"/>
  <c r="J262" s="1"/>
  <c r="K262" s="1"/>
  <c r="G263"/>
  <c r="G264"/>
  <c r="H264" s="1"/>
  <c r="G265"/>
  <c r="H265" s="1"/>
  <c r="G266"/>
  <c r="G267"/>
  <c r="G268"/>
  <c r="G269"/>
  <c r="G270"/>
  <c r="G271"/>
  <c r="G272"/>
  <c r="G273"/>
  <c r="H273" s="1"/>
  <c r="G274"/>
  <c r="H274" s="1"/>
  <c r="G275"/>
  <c r="G276"/>
  <c r="H276" s="1"/>
  <c r="G277"/>
  <c r="H277" s="1"/>
  <c r="G278"/>
  <c r="G279"/>
  <c r="G280"/>
  <c r="G281"/>
  <c r="G282"/>
  <c r="G283"/>
  <c r="G284"/>
  <c r="G285"/>
  <c r="H285" s="1"/>
  <c r="G286"/>
  <c r="J286" s="1"/>
  <c r="K286" s="1"/>
  <c r="G287"/>
  <c r="G288"/>
  <c r="H288" s="1"/>
  <c r="G289"/>
  <c r="H289" s="1"/>
  <c r="G290"/>
  <c r="G291"/>
  <c r="G292"/>
  <c r="G293"/>
  <c r="G294"/>
  <c r="G295"/>
  <c r="G296"/>
  <c r="G297"/>
  <c r="H297" s="1"/>
  <c r="G298"/>
  <c r="H298" s="1"/>
  <c r="G299"/>
  <c r="G300"/>
  <c r="H300" s="1"/>
  <c r="G301"/>
  <c r="H301" s="1"/>
  <c r="G302"/>
  <c r="G303"/>
  <c r="G304"/>
  <c r="G305"/>
  <c r="G306"/>
  <c r="G307"/>
  <c r="G308"/>
  <c r="G309"/>
  <c r="H309" s="1"/>
  <c r="G310"/>
  <c r="J310" s="1"/>
  <c r="K310" s="1"/>
  <c r="G311"/>
  <c r="G312"/>
  <c r="H312" s="1"/>
  <c r="G313"/>
  <c r="H313" s="1"/>
  <c r="G314"/>
  <c r="G315"/>
  <c r="G316"/>
  <c r="G317"/>
  <c r="G318"/>
  <c r="G319"/>
  <c r="G320"/>
  <c r="G321"/>
  <c r="H321" s="1"/>
  <c r="G322"/>
  <c r="J322" s="1"/>
  <c r="K322" s="1"/>
  <c r="G323"/>
  <c r="G324"/>
  <c r="H324" s="1"/>
  <c r="G325"/>
  <c r="H325" s="1"/>
  <c r="G326"/>
  <c r="G327"/>
  <c r="G328"/>
  <c r="G329"/>
  <c r="G330"/>
  <c r="G331"/>
  <c r="G332"/>
  <c r="G333"/>
  <c r="H333" s="1"/>
  <c r="G334"/>
  <c r="H334" s="1"/>
  <c r="G335"/>
  <c r="G336"/>
  <c r="H336" s="1"/>
  <c r="G337"/>
  <c r="H337" s="1"/>
  <c r="G338"/>
  <c r="G339"/>
  <c r="G340"/>
  <c r="G341"/>
  <c r="G342"/>
  <c r="G343"/>
  <c r="G344"/>
  <c r="G345"/>
  <c r="H345" s="1"/>
  <c r="G346"/>
  <c r="J346" s="1"/>
  <c r="K346" s="1"/>
  <c r="G347"/>
  <c r="J347" s="1"/>
  <c r="G348"/>
  <c r="H348" s="1"/>
  <c r="G349"/>
  <c r="H349" s="1"/>
  <c r="G350"/>
  <c r="G351"/>
  <c r="G352"/>
  <c r="G353"/>
  <c r="G354"/>
  <c r="G355"/>
  <c r="G356"/>
  <c r="G357"/>
  <c r="H357" s="1"/>
  <c r="G358"/>
  <c r="H358" s="1"/>
  <c r="G359"/>
  <c r="J359" s="1"/>
  <c r="G360"/>
  <c r="H360" s="1"/>
  <c r="G361"/>
  <c r="H361" s="1"/>
  <c r="G362"/>
  <c r="G363"/>
  <c r="G364"/>
  <c r="G365"/>
  <c r="G366"/>
  <c r="G367"/>
  <c r="G368"/>
  <c r="G369"/>
  <c r="H369" s="1"/>
  <c r="G370"/>
  <c r="J370" s="1"/>
  <c r="K370" s="1"/>
  <c r="G371"/>
  <c r="J371" s="1"/>
  <c r="G372"/>
  <c r="H372" s="1"/>
  <c r="G373"/>
  <c r="H373" s="1"/>
  <c r="G374"/>
  <c r="G375"/>
  <c r="G376"/>
  <c r="G377"/>
  <c r="G378"/>
  <c r="G379"/>
  <c r="G380"/>
  <c r="G381"/>
  <c r="H381" s="1"/>
  <c r="G382"/>
  <c r="J382" s="1"/>
  <c r="K382" s="1"/>
  <c r="G383"/>
  <c r="J383" s="1"/>
  <c r="G384"/>
  <c r="H384" s="1"/>
  <c r="G385"/>
  <c r="H385" s="1"/>
  <c r="G386"/>
  <c r="G387"/>
  <c r="G388"/>
  <c r="G389"/>
  <c r="G390"/>
  <c r="G391"/>
  <c r="G392"/>
  <c r="G393"/>
  <c r="H393" s="1"/>
  <c r="G394"/>
  <c r="G395"/>
  <c r="J395" s="1"/>
  <c r="G396"/>
  <c r="H396" s="1"/>
  <c r="G397"/>
  <c r="H397" s="1"/>
  <c r="G398"/>
  <c r="G399"/>
  <c r="G400"/>
  <c r="G401"/>
  <c r="G402"/>
  <c r="G403"/>
  <c r="G404"/>
  <c r="G405"/>
  <c r="H405" s="1"/>
  <c r="G406"/>
  <c r="H406" s="1"/>
  <c r="G407"/>
  <c r="J407" s="1"/>
  <c r="G408"/>
  <c r="H408" s="1"/>
  <c r="G409"/>
  <c r="H409" s="1"/>
  <c r="G410"/>
  <c r="G411"/>
  <c r="G412"/>
  <c r="G413"/>
  <c r="G414"/>
  <c r="G415"/>
  <c r="G416"/>
  <c r="G417"/>
  <c r="H417" s="1"/>
  <c r="G418"/>
  <c r="J418" s="1"/>
  <c r="K418" s="1"/>
  <c r="G419"/>
  <c r="J419" s="1"/>
  <c r="G420"/>
  <c r="H420" s="1"/>
  <c r="G421"/>
  <c r="H421" s="1"/>
  <c r="G422"/>
  <c r="G423"/>
  <c r="G424"/>
  <c r="G425"/>
  <c r="G426"/>
  <c r="G427"/>
  <c r="G428"/>
  <c r="G429"/>
  <c r="H429" s="1"/>
  <c r="G430"/>
  <c r="H430" s="1"/>
  <c r="G431"/>
  <c r="J431" s="1"/>
  <c r="G432"/>
  <c r="H432" s="1"/>
  <c r="G433"/>
  <c r="H433" s="1"/>
  <c r="G434"/>
  <c r="G435"/>
  <c r="G436"/>
  <c r="G437"/>
  <c r="G438"/>
  <c r="G439"/>
  <c r="G440"/>
  <c r="G441"/>
  <c r="H441" s="1"/>
  <c r="G442"/>
  <c r="J442" s="1"/>
  <c r="K442" s="1"/>
  <c r="G443"/>
  <c r="J443" s="1"/>
  <c r="G444"/>
  <c r="H444" s="1"/>
  <c r="G445"/>
  <c r="H445" s="1"/>
  <c r="G446"/>
  <c r="G447"/>
  <c r="G448"/>
  <c r="G449"/>
  <c r="G450"/>
  <c r="G451"/>
  <c r="G452"/>
  <c r="G453"/>
  <c r="H453" s="1"/>
  <c r="G454"/>
  <c r="H454" s="1"/>
  <c r="G455"/>
  <c r="J455" s="1"/>
  <c r="G456"/>
  <c r="H456" s="1"/>
  <c r="G457"/>
  <c r="H457" s="1"/>
  <c r="G458"/>
  <c r="G459"/>
  <c r="G460"/>
  <c r="G461"/>
  <c r="G462"/>
  <c r="G463"/>
  <c r="G464"/>
  <c r="G465"/>
  <c r="H465" s="1"/>
  <c r="G466"/>
  <c r="J466" s="1"/>
  <c r="K466" s="1"/>
  <c r="G467"/>
  <c r="J467" s="1"/>
  <c r="G468"/>
  <c r="H468" s="1"/>
  <c r="G469"/>
  <c r="H469" s="1"/>
  <c r="G470"/>
  <c r="G471"/>
  <c r="G472"/>
  <c r="G473"/>
  <c r="G474"/>
  <c r="G475"/>
  <c r="G476"/>
  <c r="G477"/>
  <c r="H477" s="1"/>
  <c r="G478"/>
  <c r="H478" s="1"/>
  <c r="G479"/>
  <c r="J479" s="1"/>
  <c r="G480"/>
  <c r="H480" s="1"/>
  <c r="G481"/>
  <c r="H481" s="1"/>
  <c r="G482"/>
  <c r="G483"/>
  <c r="G484"/>
  <c r="G485"/>
  <c r="G486"/>
  <c r="G487"/>
  <c r="G488"/>
  <c r="G489"/>
  <c r="H489" s="1"/>
  <c r="G490"/>
  <c r="J490" s="1"/>
  <c r="K490" s="1"/>
  <c r="G491"/>
  <c r="J491" s="1"/>
  <c r="G492"/>
  <c r="H492" s="1"/>
  <c r="G493"/>
  <c r="H493" s="1"/>
  <c r="G494"/>
  <c r="G495"/>
  <c r="G496"/>
  <c r="G497"/>
  <c r="G498"/>
  <c r="G499"/>
  <c r="G500"/>
  <c r="G501"/>
  <c r="H501" s="1"/>
  <c r="F3"/>
  <c r="I3" s="1"/>
  <c r="F4"/>
  <c r="I4" s="1"/>
  <c r="F5"/>
  <c r="F6"/>
  <c r="F7"/>
  <c r="F8"/>
  <c r="H8" s="1"/>
  <c r="F9"/>
  <c r="F10"/>
  <c r="F11"/>
  <c r="F12"/>
  <c r="F13"/>
  <c r="F14"/>
  <c r="F15"/>
  <c r="I15" s="1"/>
  <c r="F16"/>
  <c r="I16" s="1"/>
  <c r="F17"/>
  <c r="H17" s="1"/>
  <c r="F18"/>
  <c r="H18" s="1"/>
  <c r="F19"/>
  <c r="F20"/>
  <c r="H20" s="1"/>
  <c r="F21"/>
  <c r="F22"/>
  <c r="F23"/>
  <c r="F24"/>
  <c r="F25"/>
  <c r="F26"/>
  <c r="F27"/>
  <c r="I27" s="1"/>
  <c r="F28"/>
  <c r="I28" s="1"/>
  <c r="F29"/>
  <c r="F30"/>
  <c r="F31"/>
  <c r="F32"/>
  <c r="F33"/>
  <c r="F34"/>
  <c r="F35"/>
  <c r="F36"/>
  <c r="F37"/>
  <c r="F38"/>
  <c r="F39"/>
  <c r="F40"/>
  <c r="I40" s="1"/>
  <c r="F41"/>
  <c r="H41" s="1"/>
  <c r="F42"/>
  <c r="H42" s="1"/>
  <c r="F43"/>
  <c r="F44"/>
  <c r="H44" s="1"/>
  <c r="F45"/>
  <c r="F46"/>
  <c r="F47"/>
  <c r="F48"/>
  <c r="F49"/>
  <c r="F50"/>
  <c r="F51"/>
  <c r="I51" s="1"/>
  <c r="F52"/>
  <c r="I52" s="1"/>
  <c r="F53"/>
  <c r="H53" s="1"/>
  <c r="F54"/>
  <c r="H54" s="1"/>
  <c r="F55"/>
  <c r="F56"/>
  <c r="F57"/>
  <c r="F58"/>
  <c r="F59"/>
  <c r="F60"/>
  <c r="F61"/>
  <c r="F62"/>
  <c r="F63"/>
  <c r="I63" s="1"/>
  <c r="F64"/>
  <c r="I64" s="1"/>
  <c r="F65"/>
  <c r="F66"/>
  <c r="H66" s="1"/>
  <c r="F67"/>
  <c r="F68"/>
  <c r="H68" s="1"/>
  <c r="F69"/>
  <c r="F70"/>
  <c r="F71"/>
  <c r="F72"/>
  <c r="F73"/>
  <c r="F74"/>
  <c r="F75"/>
  <c r="I75" s="1"/>
  <c r="F76"/>
  <c r="I76" s="1"/>
  <c r="F77"/>
  <c r="H77" s="1"/>
  <c r="F78"/>
  <c r="H78" s="1"/>
  <c r="F79"/>
  <c r="F80"/>
  <c r="H80" s="1"/>
  <c r="F81"/>
  <c r="F82"/>
  <c r="F83"/>
  <c r="F84"/>
  <c r="F85"/>
  <c r="F86"/>
  <c r="F87"/>
  <c r="I87" s="1"/>
  <c r="F88"/>
  <c r="I88" s="1"/>
  <c r="F89"/>
  <c r="F90"/>
  <c r="F91"/>
  <c r="F92"/>
  <c r="H92" s="1"/>
  <c r="F93"/>
  <c r="F94"/>
  <c r="F95"/>
  <c r="F96"/>
  <c r="F97"/>
  <c r="F98"/>
  <c r="F99"/>
  <c r="I99" s="1"/>
  <c r="F100"/>
  <c r="I100" s="1"/>
  <c r="F101"/>
  <c r="H101" s="1"/>
  <c r="F102"/>
  <c r="H102" s="1"/>
  <c r="F103"/>
  <c r="F104"/>
  <c r="H104" s="1"/>
  <c r="F105"/>
  <c r="F106"/>
  <c r="F107"/>
  <c r="F108"/>
  <c r="F109"/>
  <c r="F110"/>
  <c r="F111"/>
  <c r="I111" s="1"/>
  <c r="F112"/>
  <c r="I112" s="1"/>
  <c r="F113"/>
  <c r="H113" s="1"/>
  <c r="F114"/>
  <c r="F115"/>
  <c r="F116"/>
  <c r="F117"/>
  <c r="F118"/>
  <c r="F119"/>
  <c r="F120"/>
  <c r="F121"/>
  <c r="F122"/>
  <c r="F123"/>
  <c r="I123" s="1"/>
  <c r="F124"/>
  <c r="I124" s="1"/>
  <c r="F125"/>
  <c r="H125" s="1"/>
  <c r="F126"/>
  <c r="H126" s="1"/>
  <c r="F127"/>
  <c r="F128"/>
  <c r="H128" s="1"/>
  <c r="F129"/>
  <c r="F130"/>
  <c r="F131"/>
  <c r="F132"/>
  <c r="F133"/>
  <c r="F134"/>
  <c r="I134" s="1"/>
  <c r="K134" s="1"/>
  <c r="F135"/>
  <c r="I135" s="1"/>
  <c r="F136"/>
  <c r="I136" s="1"/>
  <c r="F137"/>
  <c r="H137" s="1"/>
  <c r="F138"/>
  <c r="H138" s="1"/>
  <c r="F139"/>
  <c r="F140"/>
  <c r="F141"/>
  <c r="F142"/>
  <c r="F143"/>
  <c r="F144"/>
  <c r="F145"/>
  <c r="F146"/>
  <c r="I146" s="1"/>
  <c r="F147"/>
  <c r="I147" s="1"/>
  <c r="F148"/>
  <c r="I148" s="1"/>
  <c r="F149"/>
  <c r="F150"/>
  <c r="F151"/>
  <c r="F152"/>
  <c r="H152" s="1"/>
  <c r="F153"/>
  <c r="F154"/>
  <c r="F155"/>
  <c r="F156"/>
  <c r="F157"/>
  <c r="F158"/>
  <c r="I158" s="1"/>
  <c r="K158" s="1"/>
  <c r="F159"/>
  <c r="I159" s="1"/>
  <c r="F160"/>
  <c r="I160" s="1"/>
  <c r="F161"/>
  <c r="H161" s="1"/>
  <c r="F162"/>
  <c r="H162" s="1"/>
  <c r="F163"/>
  <c r="F164"/>
  <c r="H164" s="1"/>
  <c r="F165"/>
  <c r="F166"/>
  <c r="F167"/>
  <c r="F168"/>
  <c r="F169"/>
  <c r="F170"/>
  <c r="I170" s="1"/>
  <c r="K170" s="1"/>
  <c r="F171"/>
  <c r="I171" s="1"/>
  <c r="F172"/>
  <c r="I172" s="1"/>
  <c r="F173"/>
  <c r="F174"/>
  <c r="F175"/>
  <c r="F176"/>
  <c r="F177"/>
  <c r="F178"/>
  <c r="F179"/>
  <c r="F180"/>
  <c r="F181"/>
  <c r="F182"/>
  <c r="I182" s="1"/>
  <c r="F183"/>
  <c r="F184"/>
  <c r="I184" s="1"/>
  <c r="F185"/>
  <c r="H185" s="1"/>
  <c r="F186"/>
  <c r="H186" s="1"/>
  <c r="F187"/>
  <c r="F188"/>
  <c r="H188" s="1"/>
  <c r="F189"/>
  <c r="F190"/>
  <c r="F191"/>
  <c r="F192"/>
  <c r="F193"/>
  <c r="F194"/>
  <c r="I194" s="1"/>
  <c r="K194" s="1"/>
  <c r="F195"/>
  <c r="I195" s="1"/>
  <c r="F196"/>
  <c r="I196" s="1"/>
  <c r="F197"/>
  <c r="H197" s="1"/>
  <c r="F198"/>
  <c r="H198" s="1"/>
  <c r="F199"/>
  <c r="F200"/>
  <c r="F201"/>
  <c r="F202"/>
  <c r="F203"/>
  <c r="F204"/>
  <c r="F205"/>
  <c r="F206"/>
  <c r="I206" s="1"/>
  <c r="K206" s="1"/>
  <c r="F207"/>
  <c r="I207" s="1"/>
  <c r="F208"/>
  <c r="I208" s="1"/>
  <c r="F209"/>
  <c r="F210"/>
  <c r="H210" s="1"/>
  <c r="F211"/>
  <c r="F212"/>
  <c r="H212" s="1"/>
  <c r="F213"/>
  <c r="F214"/>
  <c r="F215"/>
  <c r="F216"/>
  <c r="F217"/>
  <c r="F218"/>
  <c r="I218" s="1"/>
  <c r="F219"/>
  <c r="I219" s="1"/>
  <c r="F220"/>
  <c r="I220" s="1"/>
  <c r="F221"/>
  <c r="H221" s="1"/>
  <c r="F222"/>
  <c r="H222" s="1"/>
  <c r="F223"/>
  <c r="F224"/>
  <c r="H224" s="1"/>
  <c r="F225"/>
  <c r="F226"/>
  <c r="F227"/>
  <c r="F228"/>
  <c r="F229"/>
  <c r="F230"/>
  <c r="I230" s="1"/>
  <c r="K230" s="1"/>
  <c r="F231"/>
  <c r="I231" s="1"/>
  <c r="F232"/>
  <c r="I232" s="1"/>
  <c r="F233"/>
  <c r="F234"/>
  <c r="F235"/>
  <c r="F236"/>
  <c r="H236" s="1"/>
  <c r="F237"/>
  <c r="F238"/>
  <c r="F239"/>
  <c r="F240"/>
  <c r="F241"/>
  <c r="F242"/>
  <c r="I242" s="1"/>
  <c r="K242" s="1"/>
  <c r="F243"/>
  <c r="I243" s="1"/>
  <c r="F244"/>
  <c r="I244" s="1"/>
  <c r="F245"/>
  <c r="H245" s="1"/>
  <c r="F246"/>
  <c r="H246" s="1"/>
  <c r="F247"/>
  <c r="F248"/>
  <c r="H248" s="1"/>
  <c r="F249"/>
  <c r="F250"/>
  <c r="F251"/>
  <c r="F252"/>
  <c r="F253"/>
  <c r="F254"/>
  <c r="I254" s="1"/>
  <c r="F255"/>
  <c r="I255" s="1"/>
  <c r="F256"/>
  <c r="I256" s="1"/>
  <c r="F257"/>
  <c r="H257" s="1"/>
  <c r="F258"/>
  <c r="F259"/>
  <c r="F260"/>
  <c r="F261"/>
  <c r="F262"/>
  <c r="F263"/>
  <c r="F264"/>
  <c r="F265"/>
  <c r="F266"/>
  <c r="I266" s="1"/>
  <c r="K266" s="1"/>
  <c r="F267"/>
  <c r="I267" s="1"/>
  <c r="F268"/>
  <c r="I268" s="1"/>
  <c r="F269"/>
  <c r="H269" s="1"/>
  <c r="F270"/>
  <c r="H270" s="1"/>
  <c r="F271"/>
  <c r="F272"/>
  <c r="H272" s="1"/>
  <c r="F273"/>
  <c r="F274"/>
  <c r="F275"/>
  <c r="F276"/>
  <c r="F277"/>
  <c r="F278"/>
  <c r="I278" s="1"/>
  <c r="K278" s="1"/>
  <c r="F279"/>
  <c r="I279" s="1"/>
  <c r="F280"/>
  <c r="I280" s="1"/>
  <c r="F281"/>
  <c r="H281" s="1"/>
  <c r="F282"/>
  <c r="H282" s="1"/>
  <c r="F283"/>
  <c r="F284"/>
  <c r="F285"/>
  <c r="F286"/>
  <c r="F287"/>
  <c r="F288"/>
  <c r="F289"/>
  <c r="F290"/>
  <c r="I290" s="1"/>
  <c r="F291"/>
  <c r="I291" s="1"/>
  <c r="F292"/>
  <c r="I292" s="1"/>
  <c r="F293"/>
  <c r="F294"/>
  <c r="F295"/>
  <c r="F296"/>
  <c r="H296" s="1"/>
  <c r="F297"/>
  <c r="F298"/>
  <c r="F299"/>
  <c r="F300"/>
  <c r="F301"/>
  <c r="F302"/>
  <c r="I302" s="1"/>
  <c r="K302" s="1"/>
  <c r="F303"/>
  <c r="I303" s="1"/>
  <c r="F304"/>
  <c r="I304" s="1"/>
  <c r="F305"/>
  <c r="H305" s="1"/>
  <c r="F306"/>
  <c r="H306" s="1"/>
  <c r="F307"/>
  <c r="F308"/>
  <c r="H308" s="1"/>
  <c r="F309"/>
  <c r="F310"/>
  <c r="F311"/>
  <c r="F312"/>
  <c r="F313"/>
  <c r="F314"/>
  <c r="I314" s="1"/>
  <c r="K314" s="1"/>
  <c r="F315"/>
  <c r="I315" s="1"/>
  <c r="F316"/>
  <c r="I316" s="1"/>
  <c r="F317"/>
  <c r="F318"/>
  <c r="F319"/>
  <c r="F320"/>
  <c r="F321"/>
  <c r="F322"/>
  <c r="F323"/>
  <c r="F324"/>
  <c r="F325"/>
  <c r="F326"/>
  <c r="I326" s="1"/>
  <c r="F327"/>
  <c r="F328"/>
  <c r="I328" s="1"/>
  <c r="F329"/>
  <c r="H329" s="1"/>
  <c r="F330"/>
  <c r="H330" s="1"/>
  <c r="F331"/>
  <c r="F332"/>
  <c r="H332" s="1"/>
  <c r="F333"/>
  <c r="F334"/>
  <c r="F335"/>
  <c r="F336"/>
  <c r="F337"/>
  <c r="F338"/>
  <c r="I338" s="1"/>
  <c r="K338" s="1"/>
  <c r="F339"/>
  <c r="I339" s="1"/>
  <c r="F340"/>
  <c r="I340" s="1"/>
  <c r="F341"/>
  <c r="H341" s="1"/>
  <c r="F342"/>
  <c r="H342" s="1"/>
  <c r="F343"/>
  <c r="F344"/>
  <c r="F345"/>
  <c r="F346"/>
  <c r="F347"/>
  <c r="F348"/>
  <c r="F349"/>
  <c r="F350"/>
  <c r="I350" s="1"/>
  <c r="K350" s="1"/>
  <c r="F351"/>
  <c r="I351" s="1"/>
  <c r="F352"/>
  <c r="I352" s="1"/>
  <c r="F353"/>
  <c r="H353" s="1"/>
  <c r="F354"/>
  <c r="H354" s="1"/>
  <c r="F355"/>
  <c r="F356"/>
  <c r="H356" s="1"/>
  <c r="F357"/>
  <c r="F358"/>
  <c r="F359"/>
  <c r="F360"/>
  <c r="F361"/>
  <c r="F362"/>
  <c r="I362" s="1"/>
  <c r="F363"/>
  <c r="I363" s="1"/>
  <c r="F364"/>
  <c r="I364" s="1"/>
  <c r="F365"/>
  <c r="H365" s="1"/>
  <c r="F366"/>
  <c r="H366" s="1"/>
  <c r="F367"/>
  <c r="F368"/>
  <c r="F369"/>
  <c r="F370"/>
  <c r="F371"/>
  <c r="F372"/>
  <c r="F373"/>
  <c r="F374"/>
  <c r="I374" s="1"/>
  <c r="K374" s="1"/>
  <c r="F375"/>
  <c r="I375" s="1"/>
  <c r="F376"/>
  <c r="I376" s="1"/>
  <c r="F377"/>
  <c r="H377" s="1"/>
  <c r="F378"/>
  <c r="H378" s="1"/>
  <c r="F379"/>
  <c r="F380"/>
  <c r="H380" s="1"/>
  <c r="F381"/>
  <c r="F382"/>
  <c r="F383"/>
  <c r="F384"/>
  <c r="F385"/>
  <c r="F386"/>
  <c r="I386" s="1"/>
  <c r="K386" s="1"/>
  <c r="F387"/>
  <c r="I387" s="1"/>
  <c r="F388"/>
  <c r="I388" s="1"/>
  <c r="F389"/>
  <c r="H389" s="1"/>
  <c r="F390"/>
  <c r="H390" s="1"/>
  <c r="F391"/>
  <c r="F392"/>
  <c r="F393"/>
  <c r="F394"/>
  <c r="F395"/>
  <c r="F396"/>
  <c r="F397"/>
  <c r="F398"/>
  <c r="I398" s="1"/>
  <c r="F399"/>
  <c r="I399" s="1"/>
  <c r="F400"/>
  <c r="I400" s="1"/>
  <c r="F401"/>
  <c r="H401" s="1"/>
  <c r="F402"/>
  <c r="H402" s="1"/>
  <c r="F403"/>
  <c r="F404"/>
  <c r="H404" s="1"/>
  <c r="F405"/>
  <c r="F406"/>
  <c r="F407"/>
  <c r="F408"/>
  <c r="F409"/>
  <c r="F410"/>
  <c r="I410" s="1"/>
  <c r="K410" s="1"/>
  <c r="F411"/>
  <c r="I411" s="1"/>
  <c r="F412"/>
  <c r="I412" s="1"/>
  <c r="F413"/>
  <c r="H413" s="1"/>
  <c r="F414"/>
  <c r="H414" s="1"/>
  <c r="F415"/>
  <c r="F416"/>
  <c r="F417"/>
  <c r="F418"/>
  <c r="F419"/>
  <c r="F420"/>
  <c r="F421"/>
  <c r="F422"/>
  <c r="I422" s="1"/>
  <c r="K422" s="1"/>
  <c r="F423"/>
  <c r="I423" s="1"/>
  <c r="F424"/>
  <c r="I424" s="1"/>
  <c r="F425"/>
  <c r="H425" s="1"/>
  <c r="F426"/>
  <c r="H426" s="1"/>
  <c r="F427"/>
  <c r="F428"/>
  <c r="H428" s="1"/>
  <c r="F429"/>
  <c r="F430"/>
  <c r="F431"/>
  <c r="F432"/>
  <c r="F433"/>
  <c r="F434"/>
  <c r="I434" s="1"/>
  <c r="K434" s="1"/>
  <c r="F435"/>
  <c r="I435" s="1"/>
  <c r="F436"/>
  <c r="I436" s="1"/>
  <c r="F437"/>
  <c r="H437" s="1"/>
  <c r="F438"/>
  <c r="H438" s="1"/>
  <c r="F439"/>
  <c r="F440"/>
  <c r="F441"/>
  <c r="F442"/>
  <c r="F443"/>
  <c r="F444"/>
  <c r="F445"/>
  <c r="F446"/>
  <c r="I446" s="1"/>
  <c r="K446" s="1"/>
  <c r="F447"/>
  <c r="I447" s="1"/>
  <c r="F448"/>
  <c r="I448" s="1"/>
  <c r="F449"/>
  <c r="H449" s="1"/>
  <c r="F450"/>
  <c r="H450" s="1"/>
  <c r="F451"/>
  <c r="F452"/>
  <c r="H452" s="1"/>
  <c r="F453"/>
  <c r="F454"/>
  <c r="F455"/>
  <c r="F456"/>
  <c r="F457"/>
  <c r="F458"/>
  <c r="I458" s="1"/>
  <c r="F459"/>
  <c r="I459" s="1"/>
  <c r="F460"/>
  <c r="I460" s="1"/>
  <c r="F461"/>
  <c r="H461" s="1"/>
  <c r="F462"/>
  <c r="H462" s="1"/>
  <c r="F463"/>
  <c r="F464"/>
  <c r="F465"/>
  <c r="F466"/>
  <c r="F467"/>
  <c r="F468"/>
  <c r="F469"/>
  <c r="F470"/>
  <c r="I470" s="1"/>
  <c r="K470" s="1"/>
  <c r="F471"/>
  <c r="F472"/>
  <c r="I472" s="1"/>
  <c r="F473"/>
  <c r="H473" s="1"/>
  <c r="F474"/>
  <c r="H474" s="1"/>
  <c r="F475"/>
  <c r="F476"/>
  <c r="H476" s="1"/>
  <c r="F477"/>
  <c r="F478"/>
  <c r="F479"/>
  <c r="F480"/>
  <c r="F481"/>
  <c r="F482"/>
  <c r="I482" s="1"/>
  <c r="K482" s="1"/>
  <c r="F483"/>
  <c r="I483" s="1"/>
  <c r="F484"/>
  <c r="I484" s="1"/>
  <c r="F485"/>
  <c r="H485" s="1"/>
  <c r="F486"/>
  <c r="H486" s="1"/>
  <c r="F487"/>
  <c r="F488"/>
  <c r="F489"/>
  <c r="F490"/>
  <c r="F491"/>
  <c r="F492"/>
  <c r="F493"/>
  <c r="F494"/>
  <c r="I494" s="1"/>
  <c r="K494" s="1"/>
  <c r="F495"/>
  <c r="I495" s="1"/>
  <c r="F496"/>
  <c r="I496" s="1"/>
  <c r="F497"/>
  <c r="H497" s="1"/>
  <c r="F498"/>
  <c r="H498" s="1"/>
  <c r="F499"/>
  <c r="F500"/>
  <c r="H500" s="1"/>
  <c r="F501"/>
  <c r="E10"/>
  <c r="E11"/>
  <c r="E13"/>
  <c r="E14"/>
  <c r="E22"/>
  <c r="E31"/>
  <c r="E33"/>
  <c r="E34"/>
  <c r="E37"/>
  <c r="E38"/>
  <c r="E46"/>
  <c r="E49"/>
  <c r="E50"/>
  <c r="E55"/>
  <c r="E58"/>
  <c r="E61"/>
  <c r="E62"/>
  <c r="E70"/>
  <c r="E73"/>
  <c r="E74"/>
  <c r="E82"/>
  <c r="E85"/>
  <c r="E94"/>
  <c r="E97"/>
  <c r="E98"/>
  <c r="E106"/>
  <c r="E110"/>
  <c r="E115"/>
  <c r="E118"/>
  <c r="E121"/>
  <c r="E122"/>
  <c r="E130"/>
  <c r="E133"/>
  <c r="E134"/>
  <c r="E139"/>
  <c r="E142"/>
  <c r="E145"/>
  <c r="E146"/>
  <c r="E154"/>
  <c r="E155"/>
  <c r="E157"/>
  <c r="E158"/>
  <c r="E166"/>
  <c r="E175"/>
  <c r="E178"/>
  <c r="E181"/>
  <c r="E182"/>
  <c r="E190"/>
  <c r="E193"/>
  <c r="E194"/>
  <c r="E199"/>
  <c r="E202"/>
  <c r="E205"/>
  <c r="E206"/>
  <c r="E214"/>
  <c r="E217"/>
  <c r="E218"/>
  <c r="E226"/>
  <c r="E229"/>
  <c r="E238"/>
  <c r="E241"/>
  <c r="E242"/>
  <c r="E250"/>
  <c r="E254"/>
  <c r="E259"/>
  <c r="E262"/>
  <c r="E265"/>
  <c r="E266"/>
  <c r="E274"/>
  <c r="E277"/>
  <c r="E278"/>
  <c r="E283"/>
  <c r="E286"/>
  <c r="E289"/>
  <c r="E290"/>
  <c r="E298"/>
  <c r="E299"/>
  <c r="E301"/>
  <c r="E302"/>
  <c r="E310"/>
  <c r="E319"/>
  <c r="E322"/>
  <c r="E325"/>
  <c r="E326"/>
  <c r="E334"/>
  <c r="E337"/>
  <c r="E338"/>
  <c r="E343"/>
  <c r="E346"/>
  <c r="E349"/>
  <c r="E350"/>
  <c r="E358"/>
  <c r="E361"/>
  <c r="E362"/>
  <c r="E370"/>
  <c r="E373"/>
  <c r="E382"/>
  <c r="E385"/>
  <c r="E386"/>
  <c r="E394"/>
  <c r="E398"/>
  <c r="E403"/>
  <c r="E406"/>
  <c r="E409"/>
  <c r="E410"/>
  <c r="E418"/>
  <c r="E421"/>
  <c r="E422"/>
  <c r="E427"/>
  <c r="E430"/>
  <c r="E433"/>
  <c r="E434"/>
  <c r="E442"/>
  <c r="E443"/>
  <c r="E445"/>
  <c r="E446"/>
  <c r="E454"/>
  <c r="E463"/>
  <c r="E466"/>
  <c r="E469"/>
  <c r="E470"/>
  <c r="E478"/>
  <c r="E481"/>
  <c r="E482"/>
  <c r="E487"/>
  <c r="E490"/>
  <c r="E493"/>
  <c r="E494"/>
  <c r="D3"/>
  <c r="D4"/>
  <c r="D5"/>
  <c r="J5" s="1"/>
  <c r="K5" s="1"/>
  <c r="D6"/>
  <c r="D7"/>
  <c r="J7" s="1"/>
  <c r="K7" s="1"/>
  <c r="D8"/>
  <c r="D9"/>
  <c r="D10"/>
  <c r="D11"/>
  <c r="D12"/>
  <c r="J12" s="1"/>
  <c r="K12" s="1"/>
  <c r="D13"/>
  <c r="D14"/>
  <c r="J14" s="1"/>
  <c r="D15"/>
  <c r="D16"/>
  <c r="D17"/>
  <c r="J17" s="1"/>
  <c r="D18"/>
  <c r="D19"/>
  <c r="E19" s="1"/>
  <c r="D20"/>
  <c r="D21"/>
  <c r="D22"/>
  <c r="D23"/>
  <c r="D24"/>
  <c r="J24" s="1"/>
  <c r="D25"/>
  <c r="D26"/>
  <c r="J26" s="1"/>
  <c r="D27"/>
  <c r="D28"/>
  <c r="D29"/>
  <c r="J29" s="1"/>
  <c r="D30"/>
  <c r="D31"/>
  <c r="J31" s="1"/>
  <c r="K31" s="1"/>
  <c r="D32"/>
  <c r="D33"/>
  <c r="D34"/>
  <c r="D35"/>
  <c r="D36"/>
  <c r="D37"/>
  <c r="D38"/>
  <c r="J38" s="1"/>
  <c r="K38" s="1"/>
  <c r="D39"/>
  <c r="D40"/>
  <c r="D41"/>
  <c r="J41" s="1"/>
  <c r="K41" s="1"/>
  <c r="D42"/>
  <c r="D43"/>
  <c r="E43" s="1"/>
  <c r="D44"/>
  <c r="D45"/>
  <c r="D46"/>
  <c r="D47"/>
  <c r="D48"/>
  <c r="D49"/>
  <c r="D50"/>
  <c r="J50" s="1"/>
  <c r="D51"/>
  <c r="D52"/>
  <c r="D53"/>
  <c r="J53" s="1"/>
  <c r="D54"/>
  <c r="D55"/>
  <c r="D56"/>
  <c r="D57"/>
  <c r="D58"/>
  <c r="D59"/>
  <c r="D60"/>
  <c r="J60" s="1"/>
  <c r="D61"/>
  <c r="D62"/>
  <c r="J62" s="1"/>
  <c r="D63"/>
  <c r="D64"/>
  <c r="D65"/>
  <c r="J65" s="1"/>
  <c r="K65" s="1"/>
  <c r="D66"/>
  <c r="D67"/>
  <c r="E67" s="1"/>
  <c r="D68"/>
  <c r="D69"/>
  <c r="D70"/>
  <c r="D71"/>
  <c r="D72"/>
  <c r="D73"/>
  <c r="D74"/>
  <c r="J74" s="1"/>
  <c r="K74" s="1"/>
  <c r="D75"/>
  <c r="D76"/>
  <c r="D77"/>
  <c r="J77" s="1"/>
  <c r="D78"/>
  <c r="D79"/>
  <c r="E79" s="1"/>
  <c r="D80"/>
  <c r="D81"/>
  <c r="D82"/>
  <c r="D83"/>
  <c r="D84"/>
  <c r="J84" s="1"/>
  <c r="D85"/>
  <c r="D86"/>
  <c r="J86" s="1"/>
  <c r="D87"/>
  <c r="D88"/>
  <c r="D89"/>
  <c r="J89" s="1"/>
  <c r="D90"/>
  <c r="D91"/>
  <c r="J91" s="1"/>
  <c r="K91" s="1"/>
  <c r="D92"/>
  <c r="D93"/>
  <c r="D94"/>
  <c r="D95"/>
  <c r="D96"/>
  <c r="J96" s="1"/>
  <c r="K96" s="1"/>
  <c r="D97"/>
  <c r="D98"/>
  <c r="J98" s="1"/>
  <c r="D99"/>
  <c r="D100"/>
  <c r="D101"/>
  <c r="J101" s="1"/>
  <c r="D102"/>
  <c r="D103"/>
  <c r="E103" s="1"/>
  <c r="D104"/>
  <c r="D105"/>
  <c r="D106"/>
  <c r="D107"/>
  <c r="D108"/>
  <c r="D109"/>
  <c r="D110"/>
  <c r="J110" s="1"/>
  <c r="K110" s="1"/>
  <c r="D111"/>
  <c r="D112"/>
  <c r="D113"/>
  <c r="J113" s="1"/>
  <c r="D114"/>
  <c r="D115"/>
  <c r="J115" s="1"/>
  <c r="K115" s="1"/>
  <c r="D116"/>
  <c r="D117"/>
  <c r="D118"/>
  <c r="D119"/>
  <c r="D120"/>
  <c r="J120" s="1"/>
  <c r="D121"/>
  <c r="D122"/>
  <c r="J122" s="1"/>
  <c r="D123"/>
  <c r="D124"/>
  <c r="D125"/>
  <c r="J125" s="1"/>
  <c r="K125" s="1"/>
  <c r="D126"/>
  <c r="D127"/>
  <c r="J127" s="1"/>
  <c r="K127" s="1"/>
  <c r="D128"/>
  <c r="D129"/>
  <c r="D130"/>
  <c r="D131"/>
  <c r="D132"/>
  <c r="D133"/>
  <c r="D134"/>
  <c r="J134" s="1"/>
  <c r="D135"/>
  <c r="D136"/>
  <c r="D137"/>
  <c r="J137" s="1"/>
  <c r="D138"/>
  <c r="D139"/>
  <c r="D140"/>
  <c r="D141"/>
  <c r="D142"/>
  <c r="D143"/>
  <c r="D144"/>
  <c r="J144" s="1"/>
  <c r="D145"/>
  <c r="D146"/>
  <c r="J146" s="1"/>
  <c r="D147"/>
  <c r="D148"/>
  <c r="D149"/>
  <c r="J149" s="1"/>
  <c r="K149" s="1"/>
  <c r="D150"/>
  <c r="D151"/>
  <c r="J151" s="1"/>
  <c r="K151" s="1"/>
  <c r="D152"/>
  <c r="D153"/>
  <c r="D154"/>
  <c r="D155"/>
  <c r="D156"/>
  <c r="D157"/>
  <c r="D158"/>
  <c r="J158" s="1"/>
  <c r="D159"/>
  <c r="D160"/>
  <c r="D161"/>
  <c r="J161" s="1"/>
  <c r="D162"/>
  <c r="D163"/>
  <c r="E163" s="1"/>
  <c r="D164"/>
  <c r="D165"/>
  <c r="D166"/>
  <c r="D167"/>
  <c r="D168"/>
  <c r="J168" s="1"/>
  <c r="D169"/>
  <c r="D170"/>
  <c r="J170" s="1"/>
  <c r="D171"/>
  <c r="D172"/>
  <c r="D173"/>
  <c r="J173" s="1"/>
  <c r="D174"/>
  <c r="D175"/>
  <c r="J175" s="1"/>
  <c r="K175" s="1"/>
  <c r="D176"/>
  <c r="D177"/>
  <c r="D178"/>
  <c r="D179"/>
  <c r="D180"/>
  <c r="D181"/>
  <c r="D182"/>
  <c r="J182" s="1"/>
  <c r="D183"/>
  <c r="D184"/>
  <c r="D185"/>
  <c r="J185" s="1"/>
  <c r="K185" s="1"/>
  <c r="D186"/>
  <c r="D187"/>
  <c r="E187" s="1"/>
  <c r="D188"/>
  <c r="D189"/>
  <c r="D190"/>
  <c r="D191"/>
  <c r="D192"/>
  <c r="D193"/>
  <c r="D194"/>
  <c r="J194" s="1"/>
  <c r="D195"/>
  <c r="D196"/>
  <c r="D197"/>
  <c r="J197" s="1"/>
  <c r="D198"/>
  <c r="D199"/>
  <c r="D200"/>
  <c r="D201"/>
  <c r="D202"/>
  <c r="D203"/>
  <c r="D204"/>
  <c r="J204" s="1"/>
  <c r="D205"/>
  <c r="D206"/>
  <c r="J206" s="1"/>
  <c r="D207"/>
  <c r="D208"/>
  <c r="D209"/>
  <c r="J209" s="1"/>
  <c r="K209" s="1"/>
  <c r="D210"/>
  <c r="D211"/>
  <c r="E211" s="1"/>
  <c r="D212"/>
  <c r="D213"/>
  <c r="D214"/>
  <c r="D215"/>
  <c r="D216"/>
  <c r="D217"/>
  <c r="D218"/>
  <c r="J218" s="1"/>
  <c r="D219"/>
  <c r="D220"/>
  <c r="D221"/>
  <c r="J221" s="1"/>
  <c r="D222"/>
  <c r="D223"/>
  <c r="E223" s="1"/>
  <c r="D224"/>
  <c r="D225"/>
  <c r="D226"/>
  <c r="D227"/>
  <c r="D228"/>
  <c r="J228" s="1"/>
  <c r="D229"/>
  <c r="D230"/>
  <c r="J230" s="1"/>
  <c r="D231"/>
  <c r="D232"/>
  <c r="D233"/>
  <c r="J233" s="1"/>
  <c r="D234"/>
  <c r="D235"/>
  <c r="J235" s="1"/>
  <c r="K235" s="1"/>
  <c r="D236"/>
  <c r="D237"/>
  <c r="D238"/>
  <c r="D239"/>
  <c r="D240"/>
  <c r="J240" s="1"/>
  <c r="K240" s="1"/>
  <c r="D241"/>
  <c r="D242"/>
  <c r="J242" s="1"/>
  <c r="D243"/>
  <c r="D244"/>
  <c r="D245"/>
  <c r="J245" s="1"/>
  <c r="D246"/>
  <c r="D247"/>
  <c r="E247" s="1"/>
  <c r="D248"/>
  <c r="D249"/>
  <c r="D250"/>
  <c r="D251"/>
  <c r="D252"/>
  <c r="D253"/>
  <c r="D254"/>
  <c r="J254" s="1"/>
  <c r="D255"/>
  <c r="D256"/>
  <c r="D257"/>
  <c r="J257" s="1"/>
  <c r="D258"/>
  <c r="D259"/>
  <c r="J259" s="1"/>
  <c r="K259" s="1"/>
  <c r="D260"/>
  <c r="D261"/>
  <c r="D262"/>
  <c r="D263"/>
  <c r="D264"/>
  <c r="J264" s="1"/>
  <c r="D265"/>
  <c r="D266"/>
  <c r="J266" s="1"/>
  <c r="D267"/>
  <c r="D268"/>
  <c r="D269"/>
  <c r="J269" s="1"/>
  <c r="K269" s="1"/>
  <c r="D270"/>
  <c r="D271"/>
  <c r="J271" s="1"/>
  <c r="K271" s="1"/>
  <c r="D272"/>
  <c r="D273"/>
  <c r="D274"/>
  <c r="D275"/>
  <c r="D276"/>
  <c r="D277"/>
  <c r="D278"/>
  <c r="J278" s="1"/>
  <c r="D279"/>
  <c r="D280"/>
  <c r="D281"/>
  <c r="J281" s="1"/>
  <c r="D282"/>
  <c r="D283"/>
  <c r="D284"/>
  <c r="D285"/>
  <c r="D286"/>
  <c r="D287"/>
  <c r="D288"/>
  <c r="J288" s="1"/>
  <c r="D289"/>
  <c r="D290"/>
  <c r="J290" s="1"/>
  <c r="D291"/>
  <c r="D292"/>
  <c r="D293"/>
  <c r="J293" s="1"/>
  <c r="K293" s="1"/>
  <c r="D294"/>
  <c r="D295"/>
  <c r="J295" s="1"/>
  <c r="K295" s="1"/>
  <c r="D296"/>
  <c r="D297"/>
  <c r="D298"/>
  <c r="D299"/>
  <c r="D300"/>
  <c r="D301"/>
  <c r="D302"/>
  <c r="J302" s="1"/>
  <c r="D303"/>
  <c r="D304"/>
  <c r="D305"/>
  <c r="J305" s="1"/>
  <c r="D306"/>
  <c r="D307"/>
  <c r="E307" s="1"/>
  <c r="D308"/>
  <c r="D309"/>
  <c r="D310"/>
  <c r="D311"/>
  <c r="D312"/>
  <c r="D313"/>
  <c r="D314"/>
  <c r="J314" s="1"/>
  <c r="D315"/>
  <c r="D316"/>
  <c r="D317"/>
  <c r="J317" s="1"/>
  <c r="D318"/>
  <c r="D319"/>
  <c r="J319" s="1"/>
  <c r="K319" s="1"/>
  <c r="D320"/>
  <c r="D321"/>
  <c r="D322"/>
  <c r="D323"/>
  <c r="D324"/>
  <c r="D325"/>
  <c r="D326"/>
  <c r="J326" s="1"/>
  <c r="D327"/>
  <c r="D328"/>
  <c r="D329"/>
  <c r="J329" s="1"/>
  <c r="K329" s="1"/>
  <c r="D330"/>
  <c r="D331"/>
  <c r="E331" s="1"/>
  <c r="D332"/>
  <c r="D333"/>
  <c r="D334"/>
  <c r="D335"/>
  <c r="D336"/>
  <c r="D337"/>
  <c r="D338"/>
  <c r="J338" s="1"/>
  <c r="D339"/>
  <c r="D340"/>
  <c r="D341"/>
  <c r="J341" s="1"/>
  <c r="D342"/>
  <c r="D343"/>
  <c r="D344"/>
  <c r="D345"/>
  <c r="D346"/>
  <c r="D347"/>
  <c r="D348"/>
  <c r="D349"/>
  <c r="D350"/>
  <c r="J350" s="1"/>
  <c r="D351"/>
  <c r="D352"/>
  <c r="D353"/>
  <c r="J353" s="1"/>
  <c r="K353" s="1"/>
  <c r="D354"/>
  <c r="D355"/>
  <c r="E355" s="1"/>
  <c r="D356"/>
  <c r="D357"/>
  <c r="D358"/>
  <c r="D359"/>
  <c r="D360"/>
  <c r="D361"/>
  <c r="D362"/>
  <c r="J362" s="1"/>
  <c r="D363"/>
  <c r="D364"/>
  <c r="D365"/>
  <c r="J365" s="1"/>
  <c r="D366"/>
  <c r="D367"/>
  <c r="E367" s="1"/>
  <c r="D368"/>
  <c r="D369"/>
  <c r="D370"/>
  <c r="D371"/>
  <c r="D372"/>
  <c r="D373"/>
  <c r="D374"/>
  <c r="J374" s="1"/>
  <c r="D375"/>
  <c r="D376"/>
  <c r="D377"/>
  <c r="J377" s="1"/>
  <c r="D378"/>
  <c r="D379"/>
  <c r="J379" s="1"/>
  <c r="K379" s="1"/>
  <c r="D380"/>
  <c r="D381"/>
  <c r="D382"/>
  <c r="D383"/>
  <c r="D384"/>
  <c r="J384" s="1"/>
  <c r="K384" s="1"/>
  <c r="D385"/>
  <c r="D386"/>
  <c r="J386" s="1"/>
  <c r="D387"/>
  <c r="D388"/>
  <c r="D389"/>
  <c r="J389" s="1"/>
  <c r="D390"/>
  <c r="D391"/>
  <c r="E391" s="1"/>
  <c r="D392"/>
  <c r="D393"/>
  <c r="D394"/>
  <c r="D395"/>
  <c r="D396"/>
  <c r="D397"/>
  <c r="D398"/>
  <c r="J398" s="1"/>
  <c r="D399"/>
  <c r="D400"/>
  <c r="D401"/>
  <c r="J401" s="1"/>
  <c r="D402"/>
  <c r="D403"/>
  <c r="J403" s="1"/>
  <c r="K403" s="1"/>
  <c r="D404"/>
  <c r="D405"/>
  <c r="D406"/>
  <c r="D407"/>
  <c r="D408"/>
  <c r="D409"/>
  <c r="D410"/>
  <c r="J410" s="1"/>
  <c r="D411"/>
  <c r="D412"/>
  <c r="D413"/>
  <c r="J413" s="1"/>
  <c r="K413" s="1"/>
  <c r="D414"/>
  <c r="D415"/>
  <c r="J415" s="1"/>
  <c r="K415" s="1"/>
  <c r="D416"/>
  <c r="D417"/>
  <c r="D418"/>
  <c r="D419"/>
  <c r="D420"/>
  <c r="D421"/>
  <c r="D422"/>
  <c r="J422" s="1"/>
  <c r="D423"/>
  <c r="D424"/>
  <c r="D425"/>
  <c r="J425" s="1"/>
  <c r="D426"/>
  <c r="D427"/>
  <c r="D428"/>
  <c r="D429"/>
  <c r="D430"/>
  <c r="D431"/>
  <c r="D432"/>
  <c r="D433"/>
  <c r="D434"/>
  <c r="J434" s="1"/>
  <c r="D435"/>
  <c r="D436"/>
  <c r="D437"/>
  <c r="J437" s="1"/>
  <c r="K437" s="1"/>
  <c r="D438"/>
  <c r="D439"/>
  <c r="J439" s="1"/>
  <c r="K439" s="1"/>
  <c r="D440"/>
  <c r="D441"/>
  <c r="D442"/>
  <c r="D443"/>
  <c r="D444"/>
  <c r="J444" s="1"/>
  <c r="K444" s="1"/>
  <c r="D445"/>
  <c r="D446"/>
  <c r="J446" s="1"/>
  <c r="D447"/>
  <c r="D448"/>
  <c r="D449"/>
  <c r="J449" s="1"/>
  <c r="D450"/>
  <c r="D451"/>
  <c r="E451" s="1"/>
  <c r="D452"/>
  <c r="D453"/>
  <c r="D454"/>
  <c r="D455"/>
  <c r="D456"/>
  <c r="D457"/>
  <c r="D458"/>
  <c r="J458" s="1"/>
  <c r="D459"/>
  <c r="D460"/>
  <c r="D461"/>
  <c r="J461" s="1"/>
  <c r="D462"/>
  <c r="D463"/>
  <c r="J463" s="1"/>
  <c r="K463" s="1"/>
  <c r="D464"/>
  <c r="D465"/>
  <c r="D466"/>
  <c r="D467"/>
  <c r="D468"/>
  <c r="D469"/>
  <c r="D470"/>
  <c r="J470" s="1"/>
  <c r="D471"/>
  <c r="D472"/>
  <c r="D473"/>
  <c r="J473" s="1"/>
  <c r="K473" s="1"/>
  <c r="D474"/>
  <c r="D475"/>
  <c r="E475" s="1"/>
  <c r="D476"/>
  <c r="D477"/>
  <c r="D478"/>
  <c r="D479"/>
  <c r="D480"/>
  <c r="D481"/>
  <c r="D482"/>
  <c r="J482" s="1"/>
  <c r="D483"/>
  <c r="D484"/>
  <c r="D485"/>
  <c r="J485" s="1"/>
  <c r="D486"/>
  <c r="D487"/>
  <c r="D488"/>
  <c r="D489"/>
  <c r="D490"/>
  <c r="D491"/>
  <c r="D492"/>
  <c r="D493"/>
  <c r="D494"/>
  <c r="J494" s="1"/>
  <c r="D495"/>
  <c r="D496"/>
  <c r="D497"/>
  <c r="J497" s="1"/>
  <c r="K497" s="1"/>
  <c r="D498"/>
  <c r="D499"/>
  <c r="E499" s="1"/>
  <c r="D500"/>
  <c r="D501"/>
  <c r="C3"/>
  <c r="C4"/>
  <c r="C5"/>
  <c r="C6"/>
  <c r="C7"/>
  <c r="I7" s="1"/>
  <c r="C8"/>
  <c r="I8" s="1"/>
  <c r="C9"/>
  <c r="I9" s="1"/>
  <c r="C10"/>
  <c r="I10" s="1"/>
  <c r="C11"/>
  <c r="I11" s="1"/>
  <c r="C12"/>
  <c r="C13"/>
  <c r="C14"/>
  <c r="C15"/>
  <c r="C16"/>
  <c r="C17"/>
  <c r="I17" s="1"/>
  <c r="C18"/>
  <c r="C19"/>
  <c r="I19" s="1"/>
  <c r="C20"/>
  <c r="I20" s="1"/>
  <c r="C21"/>
  <c r="I21" s="1"/>
  <c r="C22"/>
  <c r="I22" s="1"/>
  <c r="C23"/>
  <c r="I23" s="1"/>
  <c r="C24"/>
  <c r="I24" s="1"/>
  <c r="C25"/>
  <c r="C26"/>
  <c r="C27"/>
  <c r="C28"/>
  <c r="C29"/>
  <c r="I29" s="1"/>
  <c r="C30"/>
  <c r="C31"/>
  <c r="I31" s="1"/>
  <c r="C32"/>
  <c r="I32" s="1"/>
  <c r="C33"/>
  <c r="I33" s="1"/>
  <c r="C34"/>
  <c r="I34" s="1"/>
  <c r="C35"/>
  <c r="I35" s="1"/>
  <c r="C36"/>
  <c r="I36" s="1"/>
  <c r="C37"/>
  <c r="C38"/>
  <c r="C39"/>
  <c r="C40"/>
  <c r="C41"/>
  <c r="C42"/>
  <c r="C43"/>
  <c r="I43" s="1"/>
  <c r="C44"/>
  <c r="I44" s="1"/>
  <c r="C45"/>
  <c r="I45" s="1"/>
  <c r="C46"/>
  <c r="I46" s="1"/>
  <c r="C47"/>
  <c r="I47" s="1"/>
  <c r="C48"/>
  <c r="I48" s="1"/>
  <c r="C49"/>
  <c r="C50"/>
  <c r="C51"/>
  <c r="C52"/>
  <c r="C53"/>
  <c r="I53" s="1"/>
  <c r="C54"/>
  <c r="C55"/>
  <c r="I55" s="1"/>
  <c r="C56"/>
  <c r="I56" s="1"/>
  <c r="C57"/>
  <c r="I57" s="1"/>
  <c r="C58"/>
  <c r="I58" s="1"/>
  <c r="C59"/>
  <c r="I59" s="1"/>
  <c r="C60"/>
  <c r="I60" s="1"/>
  <c r="C61"/>
  <c r="C62"/>
  <c r="C63"/>
  <c r="C64"/>
  <c r="C65"/>
  <c r="C66"/>
  <c r="C67"/>
  <c r="I67" s="1"/>
  <c r="C68"/>
  <c r="I68" s="1"/>
  <c r="C69"/>
  <c r="I69" s="1"/>
  <c r="C70"/>
  <c r="I70" s="1"/>
  <c r="C71"/>
  <c r="I71" s="1"/>
  <c r="C72"/>
  <c r="C73"/>
  <c r="C74"/>
  <c r="C75"/>
  <c r="C76"/>
  <c r="C77"/>
  <c r="I77" s="1"/>
  <c r="C78"/>
  <c r="C79"/>
  <c r="I79" s="1"/>
  <c r="C80"/>
  <c r="I80" s="1"/>
  <c r="C81"/>
  <c r="I81" s="1"/>
  <c r="C82"/>
  <c r="I82" s="1"/>
  <c r="C83"/>
  <c r="I83" s="1"/>
  <c r="C84"/>
  <c r="I84" s="1"/>
  <c r="C85"/>
  <c r="C86"/>
  <c r="C87"/>
  <c r="C88"/>
  <c r="C89"/>
  <c r="I89" s="1"/>
  <c r="C90"/>
  <c r="C91"/>
  <c r="I91" s="1"/>
  <c r="C92"/>
  <c r="I92" s="1"/>
  <c r="C93"/>
  <c r="I93" s="1"/>
  <c r="C94"/>
  <c r="I94" s="1"/>
  <c r="C95"/>
  <c r="I95" s="1"/>
  <c r="C96"/>
  <c r="C97"/>
  <c r="C98"/>
  <c r="C99"/>
  <c r="C100"/>
  <c r="C101"/>
  <c r="I101" s="1"/>
  <c r="C102"/>
  <c r="C103"/>
  <c r="I103" s="1"/>
  <c r="C104"/>
  <c r="I104" s="1"/>
  <c r="C105"/>
  <c r="I105" s="1"/>
  <c r="C106"/>
  <c r="I106" s="1"/>
  <c r="C107"/>
  <c r="I107" s="1"/>
  <c r="C108"/>
  <c r="I108" s="1"/>
  <c r="C109"/>
  <c r="C110"/>
  <c r="C111"/>
  <c r="C112"/>
  <c r="C113"/>
  <c r="I113" s="1"/>
  <c r="C114"/>
  <c r="C115"/>
  <c r="I115" s="1"/>
  <c r="C116"/>
  <c r="I116" s="1"/>
  <c r="C117"/>
  <c r="I117" s="1"/>
  <c r="C118"/>
  <c r="I118" s="1"/>
  <c r="C119"/>
  <c r="I119" s="1"/>
  <c r="C120"/>
  <c r="I120" s="1"/>
  <c r="C121"/>
  <c r="C122"/>
  <c r="C123"/>
  <c r="C124"/>
  <c r="C125"/>
  <c r="C126"/>
  <c r="C127"/>
  <c r="I127" s="1"/>
  <c r="C128"/>
  <c r="I128" s="1"/>
  <c r="C129"/>
  <c r="I129" s="1"/>
  <c r="C130"/>
  <c r="I130" s="1"/>
  <c r="C131"/>
  <c r="I131" s="1"/>
  <c r="C132"/>
  <c r="C133"/>
  <c r="C134"/>
  <c r="C135"/>
  <c r="C136"/>
  <c r="C137"/>
  <c r="I137" s="1"/>
  <c r="C138"/>
  <c r="C139"/>
  <c r="I139" s="1"/>
  <c r="C140"/>
  <c r="I140" s="1"/>
  <c r="C141"/>
  <c r="I141" s="1"/>
  <c r="C142"/>
  <c r="I142" s="1"/>
  <c r="C143"/>
  <c r="I143" s="1"/>
  <c r="C144"/>
  <c r="I144" s="1"/>
  <c r="C145"/>
  <c r="C146"/>
  <c r="C147"/>
  <c r="C148"/>
  <c r="C149"/>
  <c r="C150"/>
  <c r="C151"/>
  <c r="I151" s="1"/>
  <c r="C152"/>
  <c r="I152" s="1"/>
  <c r="C153"/>
  <c r="I153" s="1"/>
  <c r="C154"/>
  <c r="I154" s="1"/>
  <c r="C155"/>
  <c r="I155" s="1"/>
  <c r="C156"/>
  <c r="C157"/>
  <c r="C158"/>
  <c r="C159"/>
  <c r="C160"/>
  <c r="C161"/>
  <c r="I161" s="1"/>
  <c r="C162"/>
  <c r="C163"/>
  <c r="I163" s="1"/>
  <c r="C164"/>
  <c r="I164" s="1"/>
  <c r="C165"/>
  <c r="I165" s="1"/>
  <c r="C166"/>
  <c r="I166" s="1"/>
  <c r="C167"/>
  <c r="I167" s="1"/>
  <c r="C168"/>
  <c r="I168" s="1"/>
  <c r="C169"/>
  <c r="C170"/>
  <c r="C171"/>
  <c r="C172"/>
  <c r="C173"/>
  <c r="I173" s="1"/>
  <c r="C174"/>
  <c r="C175"/>
  <c r="I175" s="1"/>
  <c r="C176"/>
  <c r="I176" s="1"/>
  <c r="C177"/>
  <c r="I177" s="1"/>
  <c r="C178"/>
  <c r="I178" s="1"/>
  <c r="C179"/>
  <c r="I179" s="1"/>
  <c r="C180"/>
  <c r="I180" s="1"/>
  <c r="C181"/>
  <c r="C182"/>
  <c r="C183"/>
  <c r="C184"/>
  <c r="C185"/>
  <c r="C186"/>
  <c r="C187"/>
  <c r="I187" s="1"/>
  <c r="C188"/>
  <c r="I188" s="1"/>
  <c r="C189"/>
  <c r="I189" s="1"/>
  <c r="C190"/>
  <c r="I190" s="1"/>
  <c r="C191"/>
  <c r="I191" s="1"/>
  <c r="C192"/>
  <c r="I192" s="1"/>
  <c r="C193"/>
  <c r="C194"/>
  <c r="C195"/>
  <c r="C196"/>
  <c r="C197"/>
  <c r="I197" s="1"/>
  <c r="C198"/>
  <c r="C199"/>
  <c r="I199" s="1"/>
  <c r="C200"/>
  <c r="I200" s="1"/>
  <c r="C201"/>
  <c r="I201" s="1"/>
  <c r="C202"/>
  <c r="I202" s="1"/>
  <c r="C203"/>
  <c r="I203" s="1"/>
  <c r="C204"/>
  <c r="I204" s="1"/>
  <c r="C205"/>
  <c r="C206"/>
  <c r="C207"/>
  <c r="C208"/>
  <c r="C209"/>
  <c r="C210"/>
  <c r="C211"/>
  <c r="I211" s="1"/>
  <c r="C212"/>
  <c r="I212" s="1"/>
  <c r="C213"/>
  <c r="I213" s="1"/>
  <c r="C214"/>
  <c r="I214" s="1"/>
  <c r="C215"/>
  <c r="I215" s="1"/>
  <c r="C216"/>
  <c r="C217"/>
  <c r="C218"/>
  <c r="C219"/>
  <c r="C220"/>
  <c r="C221"/>
  <c r="I221" s="1"/>
  <c r="C222"/>
  <c r="C223"/>
  <c r="I223" s="1"/>
  <c r="C224"/>
  <c r="I224" s="1"/>
  <c r="C225"/>
  <c r="I225" s="1"/>
  <c r="C226"/>
  <c r="I226" s="1"/>
  <c r="C227"/>
  <c r="I227" s="1"/>
  <c r="C228"/>
  <c r="I228" s="1"/>
  <c r="C229"/>
  <c r="C230"/>
  <c r="C231"/>
  <c r="C232"/>
  <c r="C233"/>
  <c r="I233" s="1"/>
  <c r="C234"/>
  <c r="C235"/>
  <c r="I235" s="1"/>
  <c r="C236"/>
  <c r="I236" s="1"/>
  <c r="C237"/>
  <c r="I237" s="1"/>
  <c r="C238"/>
  <c r="I238" s="1"/>
  <c r="C239"/>
  <c r="I239" s="1"/>
  <c r="C240"/>
  <c r="C241"/>
  <c r="C242"/>
  <c r="C243"/>
  <c r="C244"/>
  <c r="C245"/>
  <c r="I245" s="1"/>
  <c r="C246"/>
  <c r="C247"/>
  <c r="I247" s="1"/>
  <c r="C248"/>
  <c r="I248" s="1"/>
  <c r="C249"/>
  <c r="I249" s="1"/>
  <c r="C250"/>
  <c r="I250" s="1"/>
  <c r="C251"/>
  <c r="I251" s="1"/>
  <c r="C252"/>
  <c r="I252" s="1"/>
  <c r="C253"/>
  <c r="C254"/>
  <c r="C255"/>
  <c r="C256"/>
  <c r="C257"/>
  <c r="I257" s="1"/>
  <c r="C258"/>
  <c r="C259"/>
  <c r="I259" s="1"/>
  <c r="C260"/>
  <c r="I260" s="1"/>
  <c r="C261"/>
  <c r="I261" s="1"/>
  <c r="C262"/>
  <c r="I262" s="1"/>
  <c r="C263"/>
  <c r="I263" s="1"/>
  <c r="C264"/>
  <c r="I264" s="1"/>
  <c r="C265"/>
  <c r="C266"/>
  <c r="C267"/>
  <c r="C268"/>
  <c r="C269"/>
  <c r="C270"/>
  <c r="C271"/>
  <c r="I271" s="1"/>
  <c r="C272"/>
  <c r="I272" s="1"/>
  <c r="C273"/>
  <c r="I273" s="1"/>
  <c r="C274"/>
  <c r="I274" s="1"/>
  <c r="C275"/>
  <c r="I275" s="1"/>
  <c r="C276"/>
  <c r="C277"/>
  <c r="C278"/>
  <c r="C279"/>
  <c r="C280"/>
  <c r="C281"/>
  <c r="I281" s="1"/>
  <c r="C282"/>
  <c r="C283"/>
  <c r="I283" s="1"/>
  <c r="C284"/>
  <c r="I284" s="1"/>
  <c r="C285"/>
  <c r="I285" s="1"/>
  <c r="C286"/>
  <c r="I286" s="1"/>
  <c r="C287"/>
  <c r="I287" s="1"/>
  <c r="C288"/>
  <c r="I288" s="1"/>
  <c r="C289"/>
  <c r="C290"/>
  <c r="C291"/>
  <c r="C292"/>
  <c r="C293"/>
  <c r="C294"/>
  <c r="C295"/>
  <c r="I295" s="1"/>
  <c r="C296"/>
  <c r="I296" s="1"/>
  <c r="C297"/>
  <c r="I297" s="1"/>
  <c r="C298"/>
  <c r="I298" s="1"/>
  <c r="C299"/>
  <c r="I299" s="1"/>
  <c r="C300"/>
  <c r="C301"/>
  <c r="C302"/>
  <c r="C303"/>
  <c r="C304"/>
  <c r="C305"/>
  <c r="I305" s="1"/>
  <c r="C306"/>
  <c r="C307"/>
  <c r="I307" s="1"/>
  <c r="C308"/>
  <c r="I308" s="1"/>
  <c r="C309"/>
  <c r="I309" s="1"/>
  <c r="C310"/>
  <c r="I310" s="1"/>
  <c r="C311"/>
  <c r="I311" s="1"/>
  <c r="C312"/>
  <c r="I312" s="1"/>
  <c r="C313"/>
  <c r="C314"/>
  <c r="C315"/>
  <c r="C316"/>
  <c r="C317"/>
  <c r="I317" s="1"/>
  <c r="C318"/>
  <c r="C319"/>
  <c r="I319" s="1"/>
  <c r="C320"/>
  <c r="I320" s="1"/>
  <c r="C321"/>
  <c r="I321" s="1"/>
  <c r="C322"/>
  <c r="I322" s="1"/>
  <c r="C323"/>
  <c r="I323" s="1"/>
  <c r="C324"/>
  <c r="I324" s="1"/>
  <c r="C325"/>
  <c r="C326"/>
  <c r="C327"/>
  <c r="C328"/>
  <c r="C329"/>
  <c r="C330"/>
  <c r="C331"/>
  <c r="I331" s="1"/>
  <c r="C332"/>
  <c r="I332" s="1"/>
  <c r="C333"/>
  <c r="I333" s="1"/>
  <c r="C334"/>
  <c r="I334" s="1"/>
  <c r="C335"/>
  <c r="I335" s="1"/>
  <c r="C336"/>
  <c r="I336" s="1"/>
  <c r="C337"/>
  <c r="C338"/>
  <c r="C339"/>
  <c r="C340"/>
  <c r="C341"/>
  <c r="I341" s="1"/>
  <c r="C342"/>
  <c r="C343"/>
  <c r="I343" s="1"/>
  <c r="C344"/>
  <c r="I344" s="1"/>
  <c r="C345"/>
  <c r="I345" s="1"/>
  <c r="C346"/>
  <c r="I346" s="1"/>
  <c r="C347"/>
  <c r="I347" s="1"/>
  <c r="C348"/>
  <c r="I348" s="1"/>
  <c r="C349"/>
  <c r="C350"/>
  <c r="C351"/>
  <c r="C352"/>
  <c r="C353"/>
  <c r="C354"/>
  <c r="C355"/>
  <c r="I355" s="1"/>
  <c r="C356"/>
  <c r="I356" s="1"/>
  <c r="C357"/>
  <c r="I357" s="1"/>
  <c r="C358"/>
  <c r="I358" s="1"/>
  <c r="C359"/>
  <c r="I359" s="1"/>
  <c r="C360"/>
  <c r="C361"/>
  <c r="C362"/>
  <c r="C363"/>
  <c r="C364"/>
  <c r="C365"/>
  <c r="I365" s="1"/>
  <c r="C366"/>
  <c r="C367"/>
  <c r="I367" s="1"/>
  <c r="C368"/>
  <c r="I368" s="1"/>
  <c r="C369"/>
  <c r="I369" s="1"/>
  <c r="C370"/>
  <c r="I370" s="1"/>
  <c r="C371"/>
  <c r="I371" s="1"/>
  <c r="C372"/>
  <c r="I372" s="1"/>
  <c r="C373"/>
  <c r="C374"/>
  <c r="C375"/>
  <c r="C376"/>
  <c r="C377"/>
  <c r="I377" s="1"/>
  <c r="C378"/>
  <c r="C379"/>
  <c r="I379" s="1"/>
  <c r="C380"/>
  <c r="I380" s="1"/>
  <c r="C381"/>
  <c r="I381" s="1"/>
  <c r="C382"/>
  <c r="I382" s="1"/>
  <c r="C383"/>
  <c r="I383" s="1"/>
  <c r="C384"/>
  <c r="C385"/>
  <c r="C386"/>
  <c r="C387"/>
  <c r="C388"/>
  <c r="C389"/>
  <c r="I389" s="1"/>
  <c r="C390"/>
  <c r="C391"/>
  <c r="I391" s="1"/>
  <c r="C392"/>
  <c r="I392" s="1"/>
  <c r="C393"/>
  <c r="I393" s="1"/>
  <c r="C394"/>
  <c r="I394" s="1"/>
  <c r="C395"/>
  <c r="I395" s="1"/>
  <c r="C396"/>
  <c r="I396" s="1"/>
  <c r="C397"/>
  <c r="C398"/>
  <c r="C399"/>
  <c r="C400"/>
  <c r="C401"/>
  <c r="I401" s="1"/>
  <c r="C402"/>
  <c r="C403"/>
  <c r="I403" s="1"/>
  <c r="C404"/>
  <c r="I404" s="1"/>
  <c r="C405"/>
  <c r="I405" s="1"/>
  <c r="C406"/>
  <c r="I406" s="1"/>
  <c r="C407"/>
  <c r="I407" s="1"/>
  <c r="C408"/>
  <c r="I408" s="1"/>
  <c r="C409"/>
  <c r="C410"/>
  <c r="C411"/>
  <c r="C412"/>
  <c r="C413"/>
  <c r="C414"/>
  <c r="C415"/>
  <c r="I415" s="1"/>
  <c r="C416"/>
  <c r="I416" s="1"/>
  <c r="C417"/>
  <c r="I417" s="1"/>
  <c r="C418"/>
  <c r="I418" s="1"/>
  <c r="C419"/>
  <c r="I419" s="1"/>
  <c r="C420"/>
  <c r="C421"/>
  <c r="C422"/>
  <c r="C423"/>
  <c r="C424"/>
  <c r="C425"/>
  <c r="I425" s="1"/>
  <c r="C426"/>
  <c r="C427"/>
  <c r="I427" s="1"/>
  <c r="C428"/>
  <c r="I428" s="1"/>
  <c r="C429"/>
  <c r="I429" s="1"/>
  <c r="C430"/>
  <c r="I430" s="1"/>
  <c r="C431"/>
  <c r="I431" s="1"/>
  <c r="C432"/>
  <c r="I432" s="1"/>
  <c r="C433"/>
  <c r="C434"/>
  <c r="C435"/>
  <c r="C436"/>
  <c r="C437"/>
  <c r="C438"/>
  <c r="C439"/>
  <c r="I439" s="1"/>
  <c r="C440"/>
  <c r="I440" s="1"/>
  <c r="C441"/>
  <c r="I441" s="1"/>
  <c r="C442"/>
  <c r="I442" s="1"/>
  <c r="C443"/>
  <c r="I443" s="1"/>
  <c r="C444"/>
  <c r="C445"/>
  <c r="C446"/>
  <c r="C447"/>
  <c r="C448"/>
  <c r="C449"/>
  <c r="I449" s="1"/>
  <c r="C450"/>
  <c r="C451"/>
  <c r="I451" s="1"/>
  <c r="C452"/>
  <c r="I452" s="1"/>
  <c r="C453"/>
  <c r="I453" s="1"/>
  <c r="C454"/>
  <c r="I454" s="1"/>
  <c r="C455"/>
  <c r="I455" s="1"/>
  <c r="C456"/>
  <c r="I456" s="1"/>
  <c r="C457"/>
  <c r="C458"/>
  <c r="C459"/>
  <c r="C460"/>
  <c r="C461"/>
  <c r="I461" s="1"/>
  <c r="C462"/>
  <c r="C463"/>
  <c r="I463" s="1"/>
  <c r="C464"/>
  <c r="I464" s="1"/>
  <c r="C465"/>
  <c r="I465" s="1"/>
  <c r="C466"/>
  <c r="I466" s="1"/>
  <c r="C467"/>
  <c r="I467" s="1"/>
  <c r="C468"/>
  <c r="I468" s="1"/>
  <c r="C469"/>
  <c r="C470"/>
  <c r="C471"/>
  <c r="C472"/>
  <c r="C473"/>
  <c r="C474"/>
  <c r="C475"/>
  <c r="I475" s="1"/>
  <c r="C476"/>
  <c r="I476" s="1"/>
  <c r="C477"/>
  <c r="I477" s="1"/>
  <c r="C478"/>
  <c r="I478" s="1"/>
  <c r="C479"/>
  <c r="I479" s="1"/>
  <c r="C480"/>
  <c r="I480" s="1"/>
  <c r="C481"/>
  <c r="C482"/>
  <c r="C483"/>
  <c r="C484"/>
  <c r="C485"/>
  <c r="I485" s="1"/>
  <c r="C486"/>
  <c r="C487"/>
  <c r="I487" s="1"/>
  <c r="C488"/>
  <c r="I488" s="1"/>
  <c r="C489"/>
  <c r="I489" s="1"/>
  <c r="C490"/>
  <c r="I490" s="1"/>
  <c r="C491"/>
  <c r="I491" s="1"/>
  <c r="C492"/>
  <c r="I492" s="1"/>
  <c r="C493"/>
  <c r="C494"/>
  <c r="C495"/>
  <c r="C496"/>
  <c r="C497"/>
  <c r="C498"/>
  <c r="C499"/>
  <c r="I499" s="1"/>
  <c r="C500"/>
  <c r="I500" s="1"/>
  <c r="C501"/>
  <c r="I501" s="1"/>
  <c r="H2"/>
  <c r="I2"/>
  <c r="J2"/>
  <c r="G2"/>
  <c r="F2"/>
  <c r="D2"/>
  <c r="C2"/>
  <c r="E2" s="1"/>
  <c r="B2"/>
  <c r="A2"/>
  <c r="B10" i="3"/>
  <c r="B11" s="1"/>
  <c r="B8"/>
  <c r="B9" s="1"/>
  <c r="B7"/>
  <c r="B6"/>
  <c r="B4"/>
  <c r="B3"/>
  <c r="B2"/>
  <c r="B5" s="1"/>
  <c r="E3" i="2"/>
  <c r="E4"/>
  <c r="E5"/>
  <c r="E6"/>
  <c r="E2"/>
  <c r="D19" i="1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8"/>
  <c r="D9"/>
  <c r="D10"/>
  <c r="D11"/>
  <c r="D12"/>
  <c r="D13"/>
  <c r="D14"/>
  <c r="D15"/>
  <c r="D16"/>
  <c r="D17"/>
  <c r="D18"/>
  <c r="D3"/>
  <c r="D4"/>
  <c r="D5"/>
  <c r="D6"/>
  <c r="D7"/>
  <c r="D2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45"/>
  <c r="I46"/>
  <c r="I47"/>
  <c r="I48"/>
  <c r="I49"/>
  <c r="I50"/>
  <c r="I51"/>
  <c r="I52"/>
  <c r="I53"/>
  <c r="I54"/>
  <c r="I55"/>
  <c r="I56"/>
  <c r="I57"/>
  <c r="I58"/>
  <c r="I59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"/>
  <c r="K458" i="4" l="1"/>
  <c r="K398"/>
  <c r="K362"/>
  <c r="K326"/>
  <c r="K290"/>
  <c r="K254"/>
  <c r="K218"/>
  <c r="K182"/>
  <c r="K146"/>
  <c r="K485"/>
  <c r="K461"/>
  <c r="K449"/>
  <c r="K425"/>
  <c r="K401"/>
  <c r="K389"/>
  <c r="K377"/>
  <c r="K365"/>
  <c r="K341"/>
  <c r="K317"/>
  <c r="K305"/>
  <c r="K281"/>
  <c r="K257"/>
  <c r="K245"/>
  <c r="K233"/>
  <c r="K221"/>
  <c r="K197"/>
  <c r="K173"/>
  <c r="K161"/>
  <c r="K137"/>
  <c r="K113"/>
  <c r="K101"/>
  <c r="K89"/>
  <c r="K77"/>
  <c r="K53"/>
  <c r="K29"/>
  <c r="K17"/>
  <c r="K288"/>
  <c r="K264"/>
  <c r="K228"/>
  <c r="K204"/>
  <c r="K168"/>
  <c r="K144"/>
  <c r="K120"/>
  <c r="K84"/>
  <c r="K60"/>
  <c r="K24"/>
  <c r="E378"/>
  <c r="J378"/>
  <c r="K378" s="1"/>
  <c r="E258"/>
  <c r="J258"/>
  <c r="E126"/>
  <c r="J126"/>
  <c r="E6"/>
  <c r="J6"/>
  <c r="E261"/>
  <c r="H262"/>
  <c r="K225"/>
  <c r="K81"/>
  <c r="E492"/>
  <c r="E456"/>
  <c r="E432"/>
  <c r="E396"/>
  <c r="E372"/>
  <c r="E348"/>
  <c r="E324"/>
  <c r="E300"/>
  <c r="E276"/>
  <c r="E252"/>
  <c r="E216"/>
  <c r="E192"/>
  <c r="E156"/>
  <c r="E108"/>
  <c r="E36"/>
  <c r="E272"/>
  <c r="I498"/>
  <c r="I486"/>
  <c r="I474"/>
  <c r="I462"/>
  <c r="I450"/>
  <c r="I438"/>
  <c r="I426"/>
  <c r="I414"/>
  <c r="I402"/>
  <c r="I390"/>
  <c r="I378"/>
  <c r="I366"/>
  <c r="I354"/>
  <c r="I342"/>
  <c r="I330"/>
  <c r="I318"/>
  <c r="I306"/>
  <c r="I294"/>
  <c r="I282"/>
  <c r="I270"/>
  <c r="I258"/>
  <c r="I246"/>
  <c r="I234"/>
  <c r="I222"/>
  <c r="I210"/>
  <c r="I198"/>
  <c r="I186"/>
  <c r="I174"/>
  <c r="I162"/>
  <c r="I150"/>
  <c r="I138"/>
  <c r="I126"/>
  <c r="I114"/>
  <c r="I102"/>
  <c r="I90"/>
  <c r="I78"/>
  <c r="I66"/>
  <c r="I54"/>
  <c r="I42"/>
  <c r="I30"/>
  <c r="I18"/>
  <c r="I6"/>
  <c r="J493"/>
  <c r="K493" s="1"/>
  <c r="J481"/>
  <c r="K481" s="1"/>
  <c r="J469"/>
  <c r="K469" s="1"/>
  <c r="J457"/>
  <c r="K457" s="1"/>
  <c r="J445"/>
  <c r="K445" s="1"/>
  <c r="J433"/>
  <c r="K433" s="1"/>
  <c r="J421"/>
  <c r="K421" s="1"/>
  <c r="J409"/>
  <c r="K409" s="1"/>
  <c r="J397"/>
  <c r="K397" s="1"/>
  <c r="J385"/>
  <c r="K385" s="1"/>
  <c r="J373"/>
  <c r="K373" s="1"/>
  <c r="J361"/>
  <c r="K361" s="1"/>
  <c r="J349"/>
  <c r="K349" s="1"/>
  <c r="J337"/>
  <c r="K337" s="1"/>
  <c r="J325"/>
  <c r="K325" s="1"/>
  <c r="J313"/>
  <c r="K313" s="1"/>
  <c r="J301"/>
  <c r="K301" s="1"/>
  <c r="J289"/>
  <c r="K289" s="1"/>
  <c r="J277"/>
  <c r="K277" s="1"/>
  <c r="J265"/>
  <c r="K265" s="1"/>
  <c r="J253"/>
  <c r="K253" s="1"/>
  <c r="J241"/>
  <c r="K241" s="1"/>
  <c r="J229"/>
  <c r="K229" s="1"/>
  <c r="J217"/>
  <c r="K217" s="1"/>
  <c r="J205"/>
  <c r="K205" s="1"/>
  <c r="J193"/>
  <c r="K193" s="1"/>
  <c r="J181"/>
  <c r="K181" s="1"/>
  <c r="J169"/>
  <c r="K169" s="1"/>
  <c r="J157"/>
  <c r="K157" s="1"/>
  <c r="J145"/>
  <c r="K145" s="1"/>
  <c r="J133"/>
  <c r="K133" s="1"/>
  <c r="J121"/>
  <c r="K121" s="1"/>
  <c r="J109"/>
  <c r="K109" s="1"/>
  <c r="J97"/>
  <c r="K97" s="1"/>
  <c r="J85"/>
  <c r="K85" s="1"/>
  <c r="J73"/>
  <c r="K73" s="1"/>
  <c r="J61"/>
  <c r="K61" s="1"/>
  <c r="J49"/>
  <c r="K49" s="1"/>
  <c r="J37"/>
  <c r="K37" s="1"/>
  <c r="J25"/>
  <c r="K25" s="1"/>
  <c r="J13"/>
  <c r="K13" s="1"/>
  <c r="E500"/>
  <c r="E457"/>
  <c r="E439"/>
  <c r="E417"/>
  <c r="E395"/>
  <c r="E374"/>
  <c r="E356"/>
  <c r="E313"/>
  <c r="E295"/>
  <c r="E273"/>
  <c r="E251"/>
  <c r="E230"/>
  <c r="E212"/>
  <c r="E169"/>
  <c r="E151"/>
  <c r="E129"/>
  <c r="E107"/>
  <c r="E86"/>
  <c r="E68"/>
  <c r="E25"/>
  <c r="E7"/>
  <c r="K501"/>
  <c r="J475"/>
  <c r="K475" s="1"/>
  <c r="K416"/>
  <c r="K357"/>
  <c r="J331"/>
  <c r="K331" s="1"/>
  <c r="J298"/>
  <c r="K298" s="1"/>
  <c r="K272"/>
  <c r="K213"/>
  <c r="J187"/>
  <c r="K187" s="1"/>
  <c r="J154"/>
  <c r="K154" s="1"/>
  <c r="K128"/>
  <c r="K69"/>
  <c r="J43"/>
  <c r="K43" s="1"/>
  <c r="J10"/>
  <c r="K10" s="1"/>
  <c r="E498"/>
  <c r="J498"/>
  <c r="K498" s="1"/>
  <c r="E414"/>
  <c r="J414"/>
  <c r="E318"/>
  <c r="J318"/>
  <c r="K318" s="1"/>
  <c r="E186"/>
  <c r="J186"/>
  <c r="K186" s="1"/>
  <c r="E90"/>
  <c r="J90"/>
  <c r="K90" s="1"/>
  <c r="K396"/>
  <c r="E468"/>
  <c r="E408"/>
  <c r="E312"/>
  <c r="E72"/>
  <c r="E501"/>
  <c r="E479"/>
  <c r="E458"/>
  <c r="E440"/>
  <c r="E397"/>
  <c r="E379"/>
  <c r="E357"/>
  <c r="E335"/>
  <c r="E314"/>
  <c r="E296"/>
  <c r="E253"/>
  <c r="E235"/>
  <c r="E213"/>
  <c r="E191"/>
  <c r="E170"/>
  <c r="E152"/>
  <c r="E109"/>
  <c r="E91"/>
  <c r="E69"/>
  <c r="E47"/>
  <c r="E26"/>
  <c r="E8"/>
  <c r="H310"/>
  <c r="H166"/>
  <c r="H22"/>
  <c r="K476"/>
  <c r="K417"/>
  <c r="J391"/>
  <c r="K391" s="1"/>
  <c r="J358"/>
  <c r="K358" s="1"/>
  <c r="K332"/>
  <c r="J300"/>
  <c r="K300" s="1"/>
  <c r="K273"/>
  <c r="J247"/>
  <c r="K247" s="1"/>
  <c r="J214"/>
  <c r="K214" s="1"/>
  <c r="K188"/>
  <c r="J156"/>
  <c r="K156" s="1"/>
  <c r="K129"/>
  <c r="J103"/>
  <c r="K103" s="1"/>
  <c r="J70"/>
  <c r="K70" s="1"/>
  <c r="K44"/>
  <c r="J495"/>
  <c r="K495" s="1"/>
  <c r="E495"/>
  <c r="J483"/>
  <c r="K483" s="1"/>
  <c r="E483"/>
  <c r="J471"/>
  <c r="K471" s="1"/>
  <c r="E471"/>
  <c r="J459"/>
  <c r="K459" s="1"/>
  <c r="E459"/>
  <c r="J447"/>
  <c r="K447" s="1"/>
  <c r="E447"/>
  <c r="J435"/>
  <c r="K435" s="1"/>
  <c r="E435"/>
  <c r="J423"/>
  <c r="K423" s="1"/>
  <c r="E423"/>
  <c r="J411"/>
  <c r="K411" s="1"/>
  <c r="E411"/>
  <c r="J399"/>
  <c r="K399" s="1"/>
  <c r="E399"/>
  <c r="J387"/>
  <c r="K387" s="1"/>
  <c r="E387"/>
  <c r="J375"/>
  <c r="K375" s="1"/>
  <c r="E375"/>
  <c r="J363"/>
  <c r="K363" s="1"/>
  <c r="E363"/>
  <c r="J351"/>
  <c r="K351" s="1"/>
  <c r="E351"/>
  <c r="J339"/>
  <c r="K339" s="1"/>
  <c r="E339"/>
  <c r="J327"/>
  <c r="K327" s="1"/>
  <c r="E327"/>
  <c r="J315"/>
  <c r="K315" s="1"/>
  <c r="E315"/>
  <c r="J303"/>
  <c r="K303" s="1"/>
  <c r="E303"/>
  <c r="J291"/>
  <c r="K291" s="1"/>
  <c r="E291"/>
  <c r="J279"/>
  <c r="K279" s="1"/>
  <c r="E279"/>
  <c r="J267"/>
  <c r="K267" s="1"/>
  <c r="E267"/>
  <c r="J255"/>
  <c r="K255" s="1"/>
  <c r="E255"/>
  <c r="J243"/>
  <c r="K243" s="1"/>
  <c r="E243"/>
  <c r="J231"/>
  <c r="K231" s="1"/>
  <c r="E231"/>
  <c r="J219"/>
  <c r="K219" s="1"/>
  <c r="E219"/>
  <c r="J207"/>
  <c r="K207" s="1"/>
  <c r="E207"/>
  <c r="J195"/>
  <c r="K195" s="1"/>
  <c r="E195"/>
  <c r="J183"/>
  <c r="K183" s="1"/>
  <c r="E183"/>
  <c r="J171"/>
  <c r="K171" s="1"/>
  <c r="E171"/>
  <c r="J159"/>
  <c r="K159" s="1"/>
  <c r="E159"/>
  <c r="J147"/>
  <c r="K147" s="1"/>
  <c r="E147"/>
  <c r="J135"/>
  <c r="K135" s="1"/>
  <c r="E135"/>
  <c r="J123"/>
  <c r="K123" s="1"/>
  <c r="E123"/>
  <c r="J111"/>
  <c r="K111" s="1"/>
  <c r="E111"/>
  <c r="J99"/>
  <c r="K99" s="1"/>
  <c r="E99"/>
  <c r="J87"/>
  <c r="K87" s="1"/>
  <c r="E87"/>
  <c r="J75"/>
  <c r="K75" s="1"/>
  <c r="E75"/>
  <c r="J63"/>
  <c r="K63" s="1"/>
  <c r="E63"/>
  <c r="J51"/>
  <c r="K51" s="1"/>
  <c r="E51"/>
  <c r="J39"/>
  <c r="K39" s="1"/>
  <c r="E39"/>
  <c r="J27"/>
  <c r="K27" s="1"/>
  <c r="E27"/>
  <c r="J15"/>
  <c r="K15" s="1"/>
  <c r="E15"/>
  <c r="J3"/>
  <c r="K3" s="1"/>
  <c r="E3"/>
  <c r="E441"/>
  <c r="E419"/>
  <c r="E380"/>
  <c r="E297"/>
  <c r="E275"/>
  <c r="E236"/>
  <c r="E153"/>
  <c r="E131"/>
  <c r="E92"/>
  <c r="E9"/>
  <c r="K477"/>
  <c r="K392"/>
  <c r="K360"/>
  <c r="K333"/>
  <c r="J274"/>
  <c r="K274" s="1"/>
  <c r="K248"/>
  <c r="K216"/>
  <c r="K189"/>
  <c r="J130"/>
  <c r="K130" s="1"/>
  <c r="K104"/>
  <c r="K72"/>
  <c r="K45"/>
  <c r="J496"/>
  <c r="K496" s="1"/>
  <c r="E496"/>
  <c r="J484"/>
  <c r="K484" s="1"/>
  <c r="E484"/>
  <c r="J472"/>
  <c r="K472" s="1"/>
  <c r="E472"/>
  <c r="J460"/>
  <c r="K460" s="1"/>
  <c r="E460"/>
  <c r="J448"/>
  <c r="K448" s="1"/>
  <c r="E448"/>
  <c r="J436"/>
  <c r="K436" s="1"/>
  <c r="E436"/>
  <c r="J424"/>
  <c r="K424" s="1"/>
  <c r="E424"/>
  <c r="J412"/>
  <c r="K412" s="1"/>
  <c r="E412"/>
  <c r="J400"/>
  <c r="K400" s="1"/>
  <c r="E400"/>
  <c r="J388"/>
  <c r="K388" s="1"/>
  <c r="E388"/>
  <c r="J376"/>
  <c r="K376" s="1"/>
  <c r="E376"/>
  <c r="J364"/>
  <c r="K364" s="1"/>
  <c r="E364"/>
  <c r="J352"/>
  <c r="K352" s="1"/>
  <c r="E352"/>
  <c r="J340"/>
  <c r="K340" s="1"/>
  <c r="E340"/>
  <c r="J328"/>
  <c r="K328" s="1"/>
  <c r="E328"/>
  <c r="J316"/>
  <c r="K316" s="1"/>
  <c r="E316"/>
  <c r="J304"/>
  <c r="K304" s="1"/>
  <c r="E304"/>
  <c r="J292"/>
  <c r="K292" s="1"/>
  <c r="E292"/>
  <c r="J280"/>
  <c r="K280" s="1"/>
  <c r="E280"/>
  <c r="J268"/>
  <c r="K268" s="1"/>
  <c r="E268"/>
  <c r="J256"/>
  <c r="K256" s="1"/>
  <c r="E256"/>
  <c r="J244"/>
  <c r="K244" s="1"/>
  <c r="E244"/>
  <c r="J232"/>
  <c r="K232" s="1"/>
  <c r="E232"/>
  <c r="J220"/>
  <c r="K220" s="1"/>
  <c r="E220"/>
  <c r="J208"/>
  <c r="K208" s="1"/>
  <c r="E208"/>
  <c r="J196"/>
  <c r="K196" s="1"/>
  <c r="E196"/>
  <c r="J184"/>
  <c r="K184" s="1"/>
  <c r="E184"/>
  <c r="J172"/>
  <c r="K172" s="1"/>
  <c r="E172"/>
  <c r="J160"/>
  <c r="K160" s="1"/>
  <c r="E160"/>
  <c r="J148"/>
  <c r="K148" s="1"/>
  <c r="E148"/>
  <c r="J136"/>
  <c r="K136" s="1"/>
  <c r="E136"/>
  <c r="J124"/>
  <c r="K124" s="1"/>
  <c r="E124"/>
  <c r="J112"/>
  <c r="K112" s="1"/>
  <c r="E112"/>
  <c r="J100"/>
  <c r="K100" s="1"/>
  <c r="E100"/>
  <c r="J88"/>
  <c r="K88" s="1"/>
  <c r="E88"/>
  <c r="J76"/>
  <c r="K76" s="1"/>
  <c r="E76"/>
  <c r="J64"/>
  <c r="K64" s="1"/>
  <c r="E64"/>
  <c r="J52"/>
  <c r="K52" s="1"/>
  <c r="E52"/>
  <c r="J40"/>
  <c r="K40" s="1"/>
  <c r="E40"/>
  <c r="J28"/>
  <c r="K28" s="1"/>
  <c r="E28"/>
  <c r="J16"/>
  <c r="K16" s="1"/>
  <c r="E16"/>
  <c r="J4"/>
  <c r="K4" s="1"/>
  <c r="E4"/>
  <c r="E464"/>
  <c r="E381"/>
  <c r="E359"/>
  <c r="E320"/>
  <c r="E237"/>
  <c r="E215"/>
  <c r="E176"/>
  <c r="E93"/>
  <c r="E71"/>
  <c r="E32"/>
  <c r="J478"/>
  <c r="K478" s="1"/>
  <c r="K452"/>
  <c r="K393"/>
  <c r="J334"/>
  <c r="K334" s="1"/>
  <c r="K308"/>
  <c r="K249"/>
  <c r="J190"/>
  <c r="K190" s="1"/>
  <c r="K164"/>
  <c r="K105"/>
  <c r="J46"/>
  <c r="K46" s="1"/>
  <c r="K20"/>
  <c r="E465"/>
  <c r="E404"/>
  <c r="E321"/>
  <c r="E260"/>
  <c r="E177"/>
  <c r="E116"/>
  <c r="K480"/>
  <c r="K453"/>
  <c r="K394"/>
  <c r="K368"/>
  <c r="K336"/>
  <c r="K309"/>
  <c r="K250"/>
  <c r="K224"/>
  <c r="K192"/>
  <c r="K165"/>
  <c r="K106"/>
  <c r="K80"/>
  <c r="K48"/>
  <c r="K21"/>
  <c r="E438"/>
  <c r="J438"/>
  <c r="K438" s="1"/>
  <c r="E294"/>
  <c r="J294"/>
  <c r="E78"/>
  <c r="J78"/>
  <c r="K78" s="1"/>
  <c r="E95"/>
  <c r="E450"/>
  <c r="J450"/>
  <c r="K450" s="1"/>
  <c r="E354"/>
  <c r="J354"/>
  <c r="K354" s="1"/>
  <c r="E306"/>
  <c r="J306"/>
  <c r="K306" s="1"/>
  <c r="E246"/>
  <c r="J246"/>
  <c r="E198"/>
  <c r="J198"/>
  <c r="E138"/>
  <c r="J138"/>
  <c r="E66"/>
  <c r="J66"/>
  <c r="K66" s="1"/>
  <c r="H335"/>
  <c r="J335"/>
  <c r="K335" s="1"/>
  <c r="H323"/>
  <c r="J323"/>
  <c r="K323" s="1"/>
  <c r="H311"/>
  <c r="J311"/>
  <c r="K311" s="1"/>
  <c r="H299"/>
  <c r="J299"/>
  <c r="K299" s="1"/>
  <c r="H287"/>
  <c r="J287"/>
  <c r="K287" s="1"/>
  <c r="H275"/>
  <c r="J275"/>
  <c r="K275" s="1"/>
  <c r="H263"/>
  <c r="J263"/>
  <c r="K263" s="1"/>
  <c r="H251"/>
  <c r="J251"/>
  <c r="K251" s="1"/>
  <c r="H239"/>
  <c r="J239"/>
  <c r="K239" s="1"/>
  <c r="H227"/>
  <c r="J227"/>
  <c r="K227" s="1"/>
  <c r="H215"/>
  <c r="J215"/>
  <c r="K215" s="1"/>
  <c r="H203"/>
  <c r="J203"/>
  <c r="K203" s="1"/>
  <c r="H191"/>
  <c r="J191"/>
  <c r="K191" s="1"/>
  <c r="H179"/>
  <c r="J179"/>
  <c r="K179" s="1"/>
  <c r="H167"/>
  <c r="J167"/>
  <c r="K167" s="1"/>
  <c r="H155"/>
  <c r="J155"/>
  <c r="K155" s="1"/>
  <c r="H143"/>
  <c r="J143"/>
  <c r="K143" s="1"/>
  <c r="H131"/>
  <c r="J131"/>
  <c r="K131" s="1"/>
  <c r="H119"/>
  <c r="J119"/>
  <c r="K119" s="1"/>
  <c r="H107"/>
  <c r="J107"/>
  <c r="K107" s="1"/>
  <c r="H95"/>
  <c r="J95"/>
  <c r="K95" s="1"/>
  <c r="H83"/>
  <c r="J83"/>
  <c r="K83" s="1"/>
  <c r="H71"/>
  <c r="J71"/>
  <c r="K71" s="1"/>
  <c r="H59"/>
  <c r="J59"/>
  <c r="K59" s="1"/>
  <c r="H47"/>
  <c r="J47"/>
  <c r="K47" s="1"/>
  <c r="H35"/>
  <c r="J35"/>
  <c r="K35" s="1"/>
  <c r="H23"/>
  <c r="J23"/>
  <c r="K23" s="1"/>
  <c r="H11"/>
  <c r="J11"/>
  <c r="K11" s="1"/>
  <c r="K428"/>
  <c r="K252"/>
  <c r="K140"/>
  <c r="E489"/>
  <c r="E467"/>
  <c r="E428"/>
  <c r="E345"/>
  <c r="E323"/>
  <c r="E284"/>
  <c r="E201"/>
  <c r="E179"/>
  <c r="E140"/>
  <c r="E57"/>
  <c r="E35"/>
  <c r="K491"/>
  <c r="K479"/>
  <c r="K467"/>
  <c r="K455"/>
  <c r="K443"/>
  <c r="K431"/>
  <c r="K419"/>
  <c r="K407"/>
  <c r="K395"/>
  <c r="K383"/>
  <c r="K371"/>
  <c r="K359"/>
  <c r="K347"/>
  <c r="H322"/>
  <c r="H178"/>
  <c r="H34"/>
  <c r="K488"/>
  <c r="J456"/>
  <c r="K456" s="1"/>
  <c r="K429"/>
  <c r="K344"/>
  <c r="J312"/>
  <c r="K312" s="1"/>
  <c r="K285"/>
  <c r="K200"/>
  <c r="K141"/>
  <c r="K56"/>
  <c r="E402"/>
  <c r="J402"/>
  <c r="K402" s="1"/>
  <c r="E270"/>
  <c r="J270"/>
  <c r="K270" s="1"/>
  <c r="E150"/>
  <c r="J150"/>
  <c r="K150" s="1"/>
  <c r="E42"/>
  <c r="J42"/>
  <c r="K42" s="1"/>
  <c r="E383"/>
  <c r="E200"/>
  <c r="K284"/>
  <c r="K108"/>
  <c r="E429"/>
  <c r="E407"/>
  <c r="E368"/>
  <c r="E285"/>
  <c r="E263"/>
  <c r="E224"/>
  <c r="E141"/>
  <c r="E119"/>
  <c r="E80"/>
  <c r="H238"/>
  <c r="H94"/>
  <c r="K489"/>
  <c r="J430"/>
  <c r="K430" s="1"/>
  <c r="K404"/>
  <c r="J372"/>
  <c r="K372" s="1"/>
  <c r="K345"/>
  <c r="K260"/>
  <c r="K201"/>
  <c r="K116"/>
  <c r="K57"/>
  <c r="E486"/>
  <c r="J486"/>
  <c r="K486" s="1"/>
  <c r="E366"/>
  <c r="J366"/>
  <c r="K366" s="1"/>
  <c r="E282"/>
  <c r="J282"/>
  <c r="K282" s="1"/>
  <c r="E162"/>
  <c r="J162"/>
  <c r="K162" s="1"/>
  <c r="E54"/>
  <c r="J54"/>
  <c r="K54" s="1"/>
  <c r="E405"/>
  <c r="E56"/>
  <c r="E491"/>
  <c r="E452"/>
  <c r="E369"/>
  <c r="E347"/>
  <c r="E308"/>
  <c r="E225"/>
  <c r="E203"/>
  <c r="E164"/>
  <c r="E81"/>
  <c r="E59"/>
  <c r="E20"/>
  <c r="K464"/>
  <c r="J432"/>
  <c r="K432" s="1"/>
  <c r="K405"/>
  <c r="K320"/>
  <c r="K261"/>
  <c r="K176"/>
  <c r="K117"/>
  <c r="K32"/>
  <c r="E426"/>
  <c r="J426"/>
  <c r="K426" s="1"/>
  <c r="E222"/>
  <c r="J222"/>
  <c r="K222" s="1"/>
  <c r="E18"/>
  <c r="J18"/>
  <c r="E239"/>
  <c r="H118"/>
  <c r="K369"/>
  <c r="K2"/>
  <c r="E453"/>
  <c r="E431"/>
  <c r="E392"/>
  <c r="E309"/>
  <c r="E287"/>
  <c r="E248"/>
  <c r="E165"/>
  <c r="E143"/>
  <c r="E104"/>
  <c r="E21"/>
  <c r="H494"/>
  <c r="H482"/>
  <c r="H470"/>
  <c r="H458"/>
  <c r="H446"/>
  <c r="H434"/>
  <c r="H422"/>
  <c r="H410"/>
  <c r="H398"/>
  <c r="H386"/>
  <c r="H374"/>
  <c r="H362"/>
  <c r="H350"/>
  <c r="H338"/>
  <c r="H326"/>
  <c r="H314"/>
  <c r="H302"/>
  <c r="H290"/>
  <c r="H278"/>
  <c r="H266"/>
  <c r="H254"/>
  <c r="H242"/>
  <c r="H230"/>
  <c r="H218"/>
  <c r="H206"/>
  <c r="H194"/>
  <c r="H182"/>
  <c r="H170"/>
  <c r="H158"/>
  <c r="H146"/>
  <c r="H134"/>
  <c r="J492"/>
  <c r="K492" s="1"/>
  <c r="K465"/>
  <c r="J406"/>
  <c r="K406" s="1"/>
  <c r="K380"/>
  <c r="J348"/>
  <c r="K348" s="1"/>
  <c r="K321"/>
  <c r="K236"/>
  <c r="K177"/>
  <c r="K92"/>
  <c r="K33"/>
  <c r="E474"/>
  <c r="J474"/>
  <c r="K474" s="1"/>
  <c r="E390"/>
  <c r="J390"/>
  <c r="E330"/>
  <c r="J330"/>
  <c r="K330" s="1"/>
  <c r="E234"/>
  <c r="J234"/>
  <c r="K234" s="1"/>
  <c r="E174"/>
  <c r="J174"/>
  <c r="K174" s="1"/>
  <c r="E114"/>
  <c r="J114"/>
  <c r="K114" s="1"/>
  <c r="E30"/>
  <c r="J30"/>
  <c r="K30" s="1"/>
  <c r="E344"/>
  <c r="J454"/>
  <c r="K454" s="1"/>
  <c r="E476"/>
  <c r="E415"/>
  <c r="E393"/>
  <c r="E371"/>
  <c r="E332"/>
  <c r="E271"/>
  <c r="E249"/>
  <c r="E227"/>
  <c r="E188"/>
  <c r="E127"/>
  <c r="E105"/>
  <c r="E83"/>
  <c r="E44"/>
  <c r="H495"/>
  <c r="H483"/>
  <c r="H471"/>
  <c r="H459"/>
  <c r="H447"/>
  <c r="H435"/>
  <c r="H423"/>
  <c r="H411"/>
  <c r="H399"/>
  <c r="H387"/>
  <c r="H375"/>
  <c r="H363"/>
  <c r="H351"/>
  <c r="H339"/>
  <c r="H327"/>
  <c r="H315"/>
  <c r="H303"/>
  <c r="H291"/>
  <c r="H279"/>
  <c r="H267"/>
  <c r="H255"/>
  <c r="H243"/>
  <c r="H231"/>
  <c r="H219"/>
  <c r="H207"/>
  <c r="H195"/>
  <c r="H183"/>
  <c r="H171"/>
  <c r="H159"/>
  <c r="H147"/>
  <c r="H135"/>
  <c r="H123"/>
  <c r="H111"/>
  <c r="H99"/>
  <c r="H87"/>
  <c r="H75"/>
  <c r="H63"/>
  <c r="H51"/>
  <c r="H39"/>
  <c r="H27"/>
  <c r="H15"/>
  <c r="H3"/>
  <c r="H382"/>
  <c r="J499"/>
  <c r="K499" s="1"/>
  <c r="K440"/>
  <c r="J408"/>
  <c r="K408" s="1"/>
  <c r="K381"/>
  <c r="J355"/>
  <c r="K355" s="1"/>
  <c r="K296"/>
  <c r="K237"/>
  <c r="J211"/>
  <c r="K211" s="1"/>
  <c r="K152"/>
  <c r="K93"/>
  <c r="J67"/>
  <c r="K67" s="1"/>
  <c r="K8"/>
  <c r="E462"/>
  <c r="J462"/>
  <c r="K462" s="1"/>
  <c r="E342"/>
  <c r="J342"/>
  <c r="K342" s="1"/>
  <c r="E210"/>
  <c r="J210"/>
  <c r="K210" s="1"/>
  <c r="E102"/>
  <c r="J102"/>
  <c r="K102" s="1"/>
  <c r="E488"/>
  <c r="E117"/>
  <c r="E480"/>
  <c r="E444"/>
  <c r="E420"/>
  <c r="E384"/>
  <c r="E360"/>
  <c r="E336"/>
  <c r="E288"/>
  <c r="E264"/>
  <c r="E240"/>
  <c r="E228"/>
  <c r="E204"/>
  <c r="E180"/>
  <c r="E168"/>
  <c r="E144"/>
  <c r="E132"/>
  <c r="E120"/>
  <c r="E96"/>
  <c r="E84"/>
  <c r="E60"/>
  <c r="E48"/>
  <c r="E24"/>
  <c r="E12"/>
  <c r="E477"/>
  <c r="E455"/>
  <c r="E416"/>
  <c r="E333"/>
  <c r="E311"/>
  <c r="E189"/>
  <c r="E167"/>
  <c r="E128"/>
  <c r="E45"/>
  <c r="E23"/>
  <c r="H496"/>
  <c r="H484"/>
  <c r="H472"/>
  <c r="H460"/>
  <c r="H448"/>
  <c r="H436"/>
  <c r="H424"/>
  <c r="H412"/>
  <c r="H400"/>
  <c r="H388"/>
  <c r="H376"/>
  <c r="H364"/>
  <c r="H352"/>
  <c r="H340"/>
  <c r="H328"/>
  <c r="H316"/>
  <c r="H304"/>
  <c r="H292"/>
  <c r="H280"/>
  <c r="H268"/>
  <c r="H256"/>
  <c r="H244"/>
  <c r="H232"/>
  <c r="H220"/>
  <c r="H208"/>
  <c r="H196"/>
  <c r="H184"/>
  <c r="H172"/>
  <c r="H160"/>
  <c r="H148"/>
  <c r="H136"/>
  <c r="H124"/>
  <c r="H112"/>
  <c r="H100"/>
  <c r="H88"/>
  <c r="H76"/>
  <c r="H64"/>
  <c r="H52"/>
  <c r="H40"/>
  <c r="H28"/>
  <c r="H16"/>
  <c r="H4"/>
  <c r="H479"/>
  <c r="H455"/>
  <c r="H431"/>
  <c r="H407"/>
  <c r="H383"/>
  <c r="H359"/>
  <c r="K500"/>
  <c r="J468"/>
  <c r="K468" s="1"/>
  <c r="K441"/>
  <c r="K356"/>
  <c r="J324"/>
  <c r="K324" s="1"/>
  <c r="K297"/>
  <c r="K212"/>
  <c r="J180"/>
  <c r="K180" s="1"/>
  <c r="K153"/>
  <c r="K68"/>
  <c r="J36"/>
  <c r="K36" s="1"/>
  <c r="K9"/>
  <c r="E497"/>
  <c r="E485"/>
  <c r="E473"/>
  <c r="E461"/>
  <c r="E449"/>
  <c r="E437"/>
  <c r="E425"/>
  <c r="E413"/>
  <c r="E401"/>
  <c r="E389"/>
  <c r="E377"/>
  <c r="E365"/>
  <c r="E353"/>
  <c r="E341"/>
  <c r="E329"/>
  <c r="E317"/>
  <c r="E305"/>
  <c r="E293"/>
  <c r="E281"/>
  <c r="E269"/>
  <c r="E257"/>
  <c r="E245"/>
  <c r="E233"/>
  <c r="E221"/>
  <c r="E209"/>
  <c r="E197"/>
  <c r="E185"/>
  <c r="E173"/>
  <c r="E161"/>
  <c r="E149"/>
  <c r="E137"/>
  <c r="E125"/>
  <c r="E113"/>
  <c r="E101"/>
  <c r="E89"/>
  <c r="E77"/>
  <c r="E65"/>
  <c r="E53"/>
  <c r="E41"/>
  <c r="E29"/>
  <c r="E17"/>
  <c r="E5"/>
  <c r="K390" l="1"/>
  <c r="K294"/>
  <c r="K258"/>
  <c r="K18"/>
  <c r="K198"/>
  <c r="K246"/>
  <c r="K414"/>
  <c r="K126"/>
  <c r="K138"/>
  <c r="K6"/>
</calcChain>
</file>

<file path=xl/sharedStrings.xml><?xml version="1.0" encoding="utf-8"?>
<sst xmlns="http://schemas.openxmlformats.org/spreadsheetml/2006/main" count="2075" uniqueCount="591">
  <si>
    <t>Employee_ID</t>
  </si>
  <si>
    <t>Department</t>
  </si>
  <si>
    <t>Role</t>
  </si>
  <si>
    <t>Salary</t>
  </si>
  <si>
    <t>Benefits</t>
  </si>
  <si>
    <t>Training_Cost</t>
  </si>
  <si>
    <t>Status</t>
  </si>
  <si>
    <t>EMP0001</t>
  </si>
  <si>
    <t>Engineering</t>
  </si>
  <si>
    <t>Data Engineer</t>
  </si>
  <si>
    <t>Active</t>
  </si>
  <si>
    <t>EMP0002</t>
  </si>
  <si>
    <t>Software Engineer</t>
  </si>
  <si>
    <t>Exit</t>
  </si>
  <si>
    <t>EMP0003</t>
  </si>
  <si>
    <t>EMP0004</t>
  </si>
  <si>
    <t>EMP0005</t>
  </si>
  <si>
    <t>EMP0006</t>
  </si>
  <si>
    <t>EMP0007</t>
  </si>
  <si>
    <t>DevOps Engineer</t>
  </si>
  <si>
    <t>EMP0008</t>
  </si>
  <si>
    <t>Engineering Manager</t>
  </si>
  <si>
    <t>EMP0009</t>
  </si>
  <si>
    <t>EMP0010</t>
  </si>
  <si>
    <t>QA Engineer</t>
  </si>
  <si>
    <t>EMP0011</t>
  </si>
  <si>
    <t>Senior Software Engineer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</si>
  <si>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</si>
  <si>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</si>
  <si>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</si>
  <si>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</si>
  <si>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</si>
  <si>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</si>
  <si>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</si>
  <si>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</si>
  <si>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</si>
  <si>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</si>
  <si>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</si>
  <si>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</si>
  <si>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</si>
  <si>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</si>
  <si>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</si>
  <si>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</si>
  <si>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</si>
  <si>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</si>
  <si>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</si>
  <si>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</si>
  <si>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</si>
  <si>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</si>
  <si>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</si>
  <si>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</si>
  <si>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</si>
  <si>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</si>
  <si>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</si>
  <si>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</si>
  <si>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</si>
  <si>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</si>
  <si>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</si>
  <si>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</si>
  <si>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</si>
  <si>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</si>
  <si>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</si>
  <si>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</si>
  <si>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</si>
  <si>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</si>
  <si>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</si>
  <si>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</si>
  <si>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</si>
  <si>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</si>
  <si>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</si>
  <si>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</si>
  <si>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</si>
  <si>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</si>
  <si>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</si>
  <si>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</si>
  <si>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</si>
  <si>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</si>
  <si>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</si>
  <si>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</si>
  <si>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</si>
  <si>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</si>
  <si>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</si>
  <si>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</si>
  <si>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</si>
  <si>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</si>
  <si>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</si>
  <si>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</si>
  <si>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</si>
  <si>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</si>
  <si>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</si>
  <si>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</si>
  <si>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</si>
  <si>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</si>
  <si>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</si>
  <si>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</si>
  <si>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</si>
  <si>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</si>
  <si>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</si>
  <si>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</si>
  <si>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</si>
  <si>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</si>
  <si>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</si>
  <si>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</si>
  <si>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</si>
  <si>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</si>
  <si>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</si>
  <si>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</si>
  <si>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</si>
  <si>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</si>
  <si>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</si>
  <si>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</si>
  <si>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</si>
  <si>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</si>
  <si>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</si>
  <si>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</si>
  <si>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</si>
  <si>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</si>
  <si>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</si>
  <si>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</si>
  <si>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</si>
  <si>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</si>
  <si>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</si>
  <si>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</si>
  <si>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</si>
  <si>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</si>
  <si>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</si>
  <si>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</si>
  <si>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</si>
  <si>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</si>
  <si>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</si>
  <si>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</si>
  <si>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</si>
  <si>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</si>
  <si>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</si>
  <si>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</si>
  <si>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</si>
  <si>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</si>
  <si>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</si>
  <si>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</si>
  <si>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</si>
  <si>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</si>
  <si>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</si>
  <si>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</si>
  <si>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</si>
  <si>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</si>
  <si>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</si>
  <si>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</si>
  <si>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</si>
  <si>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</si>
  <si>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</si>
  <si>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</si>
  <si>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</si>
  <si>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</si>
  <si>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</si>
  <si>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</si>
  <si>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</si>
  <si>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</si>
  <si>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</si>
  <si>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</si>
  <si>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</si>
  <si>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</si>
  <si>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</si>
  <si>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</si>
  <si>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</si>
  <si>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</si>
  <si>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</si>
  <si>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</si>
  <si>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Sales</t>
  </si>
  <si>
    <t>Business Development Executive</t>
  </si>
  <si>
    <t>EMP0152</t>
  </si>
  <si>
    <t>EMP0153</t>
  </si>
  <si>
    <t>Sales Manager</t>
  </si>
  <si>
    <t>EMP0154</t>
  </si>
  <si>
    <t>EMP0155</t>
  </si>
  <si>
    <t>EMP0156</t>
  </si>
  <si>
    <t>Sales Executive</t>
  </si>
  <si>
    <t>EMP0157</t>
  </si>
  <si>
    <t>EMP0158</t>
  </si>
  <si>
    <t>EMP0159</t>
  </si>
  <si>
    <t>EMP0160</t>
  </si>
  <si>
    <t>EMP0161</t>
  </si>
  <si>
    <t>EMP0162</t>
  </si>
  <si>
    <t>EMP0163</t>
  </si>
  <si>
    <t>Account Manager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</si>
  <si>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</si>
  <si>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</si>
  <si>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</si>
  <si>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</si>
  <si>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</si>
  <si>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</si>
  <si>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</si>
  <si>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</si>
  <si>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</si>
  <si>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</si>
  <si>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</si>
  <si>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</si>
  <si>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</si>
  <si>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</si>
  <si>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</si>
  <si>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</si>
  <si>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</si>
  <si>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</si>
  <si>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</si>
  <si>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</si>
  <si>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</si>
  <si>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</si>
  <si>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</si>
  <si>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</si>
  <si>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</si>
  <si>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</si>
  <si>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</si>
  <si>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</si>
  <si>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</si>
  <si>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</si>
  <si>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</si>
  <si>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</si>
  <si>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</si>
  <si>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</si>
  <si>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</si>
  <si>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</si>
  <si>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Regional Sales Manager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</si>
  <si>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</si>
  <si>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</si>
  <si>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</si>
  <si>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</si>
  <si>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</si>
  <si>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</si>
  <si>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</si>
  <si>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</si>
  <si>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</si>
  <si>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</si>
  <si>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</si>
  <si>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</si>
  <si>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</si>
  <si>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</si>
  <si>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</si>
  <si>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</si>
  <si>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</si>
  <si>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</si>
  <si>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</si>
  <si>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</si>
  <si>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</si>
  <si>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</si>
  <si>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</si>
  <si>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</si>
  <si>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</si>
  <si>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</si>
  <si>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</si>
  <si>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</si>
  <si>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</si>
  <si>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</si>
  <si>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</si>
  <si>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</si>
  <si>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</si>
  <si>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</si>
  <si>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</si>
  <si>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</si>
  <si>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</si>
  <si>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</si>
  <si>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</si>
  <si>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</si>
  <si>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</si>
  <si>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</si>
  <si>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</si>
  <si>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</si>
  <si>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</si>
  <si>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</si>
  <si>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</si>
  <si>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</si>
  <si>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</si>
  <si>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</si>
  <si>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</si>
  <si>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</si>
  <si>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Finance</t>
  </si>
  <si>
    <t>Senior Financial Analyst</t>
  </si>
  <si>
    <t>EMP0252</t>
  </si>
  <si>
    <t>Financial Analyst</t>
  </si>
  <si>
    <t>EMP0253</t>
  </si>
  <si>
    <t>Accountant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</si>
  <si>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</si>
  <si>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</si>
  <si>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</si>
  <si>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</si>
  <si>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</si>
  <si>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</si>
  <si>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</si>
  <si>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</si>
  <si>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</si>
  <si>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FP&amp;A Analyst</t>
  </si>
  <si>
    <t>EMP0263</t>
  </si>
  <si>
    <t>Senior Accountant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</si>
  <si>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</si>
  <si>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</si>
  <si>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</si>
  <si>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</si>
  <si>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</si>
  <si>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</si>
  <si>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</si>
  <si>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</si>
  <si>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</si>
  <si>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</si>
  <si>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</si>
  <si>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</si>
  <si>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</si>
  <si>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</si>
  <si>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</si>
  <si>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</si>
  <si>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</si>
  <si>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</si>
  <si>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</si>
  <si>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</si>
  <si>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</si>
  <si>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</si>
  <si>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</si>
  <si>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</si>
  <si>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</si>
  <si>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</si>
  <si>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</si>
  <si>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</si>
  <si>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</si>
  <si>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</si>
  <si>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</si>
  <si>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</si>
  <si>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</si>
  <si>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</si>
  <si>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</si>
  <si>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</si>
  <si>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</si>
  <si>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</si>
  <si>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</si>
  <si>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</si>
  <si>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</si>
  <si>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</si>
  <si>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Finance Manager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</si>
  <si>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</si>
  <si>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</si>
  <si>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</si>
  <si>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</si>
  <si>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</si>
  <si>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</si>
  <si>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</si>
  <si>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</si>
  <si>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</si>
  <si>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</si>
  <si>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</si>
  <si>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</si>
  <si>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</si>
  <si>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</si>
  <si>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</si>
  <si>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</si>
  <si>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</si>
  <si>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</si>
  <si>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</si>
  <si>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</si>
  <si>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</si>
  <si>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Human Resources</t>
  </si>
  <si>
    <t>HR Executive</t>
  </si>
  <si>
    <t>EMP0327</t>
  </si>
  <si>
    <t>Talent Acquisition Specialist</t>
  </si>
  <si>
    <t>EMP0328</t>
  </si>
  <si>
    <t>HR Business Partner</t>
  </si>
  <si>
    <t>EMP0329</t>
  </si>
  <si>
    <t>EMP0330</t>
  </si>
  <si>
    <t>EMP0331</t>
  </si>
  <si>
    <t>EMP0332</t>
  </si>
  <si>
    <t>EMP0333</t>
  </si>
  <si>
    <t>HR Operations Executive</t>
  </si>
  <si>
    <t>EMP0334</t>
  </si>
  <si>
    <t>EMP0335</t>
  </si>
  <si>
    <t>EMP0336</t>
  </si>
  <si>
    <t>Compensation Analyst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</si>
  <si>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</si>
  <si>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</si>
  <si>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</si>
  <si>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</si>
  <si>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</si>
  <si>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</si>
  <si>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</si>
  <si>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</si>
  <si>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</si>
  <si>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</si>
  <si>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</si>
  <si>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</si>
  <si>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</si>
  <si>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</si>
  <si>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</si>
  <si>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</si>
  <si>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HR Manager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</si>
  <si>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</si>
  <si>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</si>
  <si>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</si>
  <si>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</si>
  <si>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</si>
  <si>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</si>
  <si>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</si>
  <si>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</si>
  <si>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</si>
  <si>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</si>
  <si>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</si>
  <si>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</si>
  <si>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</si>
  <si>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</si>
  <si>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</si>
  <si>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</si>
  <si>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</si>
  <si>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</si>
  <si>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</si>
  <si>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</si>
  <si>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</si>
  <si>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</si>
  <si>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</si>
  <si>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</si>
  <si>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Operations</t>
  </si>
  <si>
    <t>Process Analyst</t>
  </si>
  <si>
    <t>EMP0377</t>
  </si>
  <si>
    <t>Operations Executive</t>
  </si>
  <si>
    <t>EMP0378</t>
  </si>
  <si>
    <t>Senior Operations Executive</t>
  </si>
  <si>
    <t>EMP0379</t>
  </si>
  <si>
    <t>EMP0380</t>
  </si>
  <si>
    <t>EMP0381</t>
  </si>
  <si>
    <t>EMP0382</t>
  </si>
  <si>
    <t>EMP0383</t>
  </si>
  <si>
    <t>EMP0384</t>
  </si>
  <si>
    <t>EMP0385</t>
  </si>
  <si>
    <t>Quality Analyst</t>
  </si>
  <si>
    <t>EMP0386</t>
  </si>
  <si>
    <t>EMP0387</t>
  </si>
  <si>
    <t>EMP0388</t>
  </si>
  <si>
    <t>Process Improvement Analyst</t>
  </si>
  <si>
    <t>EMP0389</t>
  </si>
  <si>
    <t>EMP0390</t>
  </si>
  <si>
    <t>Senior Operations Manager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</si>
  <si>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</si>
  <si>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</si>
  <si>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</si>
  <si>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</si>
  <si>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</si>
  <si>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</si>
  <si>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</si>
  <si>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</si>
  <si>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</si>
  <si>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</si>
  <si>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</si>
  <si>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</si>
  <si>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</si>
  <si>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</si>
  <si>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</si>
  <si>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</si>
  <si>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</si>
  <si>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</si>
  <si>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</si>
  <si>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</si>
  <si>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</si>
  <si>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</si>
  <si>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</si>
  <si>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</si>
  <si>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</si>
  <si>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</si>
  <si>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</si>
  <si>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</si>
  <si>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</si>
  <si>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</si>
  <si>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</si>
  <si>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</si>
  <si>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</si>
  <si>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</si>
  <si>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</si>
  <si>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Operations Manager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</si>
  <si>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</si>
  <si>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</si>
  <si>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</si>
  <si>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</si>
  <si>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</si>
  <si>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</si>
  <si>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</si>
  <si>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</si>
  <si>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</si>
  <si>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</si>
  <si>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</si>
  <si>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</si>
  <si>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</si>
  <si>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</si>
  <si>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</si>
  <si>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</si>
  <si>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</si>
  <si>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</si>
  <si>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</si>
  <si>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</si>
  <si>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</si>
  <si>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</si>
  <si>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</si>
  <si>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</si>
  <si>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</si>
  <si>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</si>
  <si>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</si>
  <si>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</si>
  <si>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</si>
  <si>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</si>
  <si>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</si>
  <si>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</si>
  <si>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</si>
  <si>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</si>
  <si>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</si>
  <si>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</si>
  <si>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</si>
  <si>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</si>
  <si>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</si>
  <si>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</si>
  <si>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</si>
  <si>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</si>
  <si>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</si>
  <si>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</si>
  <si>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</si>
  <si>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</si>
  <si>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</si>
  <si>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</si>
  <si>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</si>
  <si>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</si>
  <si>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</si>
  <si>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</si>
  <si>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</si>
  <si>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</si>
  <si>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</si>
  <si>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</si>
  <si>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</si>
  <si>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</si>
  <si>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</si>
  <si>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</si>
  <si>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</si>
  <si>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</si>
  <si>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</si>
  <si>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</si>
  <si>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</si>
  <si>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</si>
  <si>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</si>
  <si>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</si>
  <si>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</si>
  <si>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</si>
  <si>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</si>
  <si>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</si>
  <si>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</si>
  <si>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</si>
  <si>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</si>
  <si>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Current_Headcount</t>
  </si>
  <si>
    <t>Planned_Hires</t>
  </si>
  <si>
    <t>Planned_Exits</t>
  </si>
  <si>
    <t>Avg_Salary</t>
  </si>
  <si>
    <t>Budget_Allocation</t>
  </si>
  <si>
    <t>Total_Compensation</t>
  </si>
  <si>
    <t>Annual_Cost</t>
  </si>
  <si>
    <t>Job_Level</t>
  </si>
  <si>
    <t>Forecasted_Headcount</t>
  </si>
  <si>
    <t>KPI</t>
  </si>
  <si>
    <t>Value</t>
  </si>
  <si>
    <t>Current Headcount</t>
  </si>
  <si>
    <t>Planned Hires</t>
  </si>
  <si>
    <t>Planned Exits</t>
  </si>
  <si>
    <t>Headcount Forecast</t>
  </si>
  <si>
    <t>Total HR Spend</t>
  </si>
  <si>
    <t>Cost per Employee</t>
  </si>
  <si>
    <t>Training Cost</t>
  </si>
  <si>
    <t>Training Spend per Employee</t>
  </si>
  <si>
    <t>Budget Allocation</t>
  </si>
  <si>
    <t>Budget Utilization %</t>
  </si>
  <si>
    <t>Planned_Salary</t>
  </si>
  <si>
    <t>Actual_Salary</t>
  </si>
  <si>
    <t>Salary_Variance</t>
  </si>
  <si>
    <t>Planned_Training</t>
  </si>
  <si>
    <t>Actual Training</t>
  </si>
  <si>
    <t>Training Var.</t>
  </si>
  <si>
    <t>Total Planned</t>
  </si>
  <si>
    <t>Total Actual</t>
  </si>
  <si>
    <t>Total Var.</t>
  </si>
  <si>
    <t>Row Labels</t>
  </si>
  <si>
    <t>Grand Total</t>
  </si>
  <si>
    <t>Sum of Planned_Salary</t>
  </si>
  <si>
    <t>Values</t>
  </si>
  <si>
    <t>Sum of Actual_Salary</t>
  </si>
  <si>
    <t>Sum of Salary_Variance</t>
  </si>
  <si>
    <t>Sum of Planned_Training</t>
  </si>
  <si>
    <t>Sum of Actual Training</t>
  </si>
  <si>
    <t>Sum of Training Var.</t>
  </si>
  <si>
    <t>Sum of Total Planned</t>
  </si>
  <si>
    <t>Sum of Total Actual</t>
  </si>
  <si>
    <t>Sum of Total Var.</t>
  </si>
  <si>
    <t>Average of Salary</t>
  </si>
  <si>
    <t>Sum of Training_Cost</t>
  </si>
  <si>
    <t>Count of Employee_ID</t>
  </si>
  <si>
    <t>Sum of Annual_Cost</t>
  </si>
  <si>
    <t>% of Total Cost</t>
  </si>
</sst>
</file>

<file path=xl/styles.xml><?xml version="1.0" encoding="utf-8"?>
<styleSheet xmlns="http://schemas.openxmlformats.org/spreadsheetml/2006/main">
  <numFmts count="2">
    <numFmt numFmtId="164" formatCode="\₹#,##0"/>
    <numFmt numFmtId="172" formatCode="[$₹-4009]\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10" fontId="0" fillId="0" borderId="0" xfId="0" applyNumberFormat="1"/>
    <xf numFmtId="172" fontId="0" fillId="0" borderId="0" xfId="0" applyNumberFormat="1"/>
    <xf numFmtId="172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72" fontId="2" fillId="3" borderId="1" xfId="0" applyNumberFormat="1" applyFont="1" applyFill="1" applyBorder="1" applyAlignment="1">
      <alignment horizontal="center" vertical="center" wrapText="1"/>
    </xf>
    <xf numFmtId="172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2" fontId="0" fillId="0" borderId="0" xfId="0" applyNumberFormat="1" applyAlignment="1"/>
    <xf numFmtId="172" fontId="0" fillId="0" borderId="0" xfId="0" pivotButton="1" applyNumberFormat="1" applyAlignment="1"/>
  </cellXfs>
  <cellStyles count="1">
    <cellStyle name="Normal" xfId="0" builtinId="0"/>
  </cellStyles>
  <dxfs count="5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71" formatCode="&quot;$&quot;#,##0.00"/>
    </dxf>
    <dxf>
      <numFmt numFmtId="172" formatCode="[$₹-4009]\ #,##0.00"/>
    </dxf>
    <dxf>
      <numFmt numFmtId="174" formatCode="_-[$£-809]* #,##0.00_-;\-[$£-809]* #,##0.00_-;_-[$£-809]* &quot;-&quot;??_-;_-@_-"/>
    </dxf>
    <dxf>
      <numFmt numFmtId="171" formatCode="&quot;$&quot;#,##0.0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numFmt numFmtId="171" formatCode="&quot;$&quot;#,##0.00"/>
    </dxf>
    <dxf>
      <numFmt numFmtId="173" formatCode="_ [$₹-4009]\ * #,##0.00_ ;_ [$₹-4009]\ * \-#,##0.00_ ;_ [$₹-4009]\ * &quot;-&quot;??_ ;_ @_ 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we" refreshedDate="46292.546344097223" createdVersion="3" refreshedVersion="3" minRefreshableVersion="3" recordCount="500">
  <cacheSource type="worksheet">
    <worksheetSource ref="A1:K501" sheet="Budget_vs_Actual"/>
  </cacheSource>
  <cacheFields count="11">
    <cacheField name="Employee_ID" numFmtId="0">
      <sharedItems/>
    </cacheField>
    <cacheField name="Department" numFmtId="0">
      <sharedItems count="5">
        <s v="Engineering"/>
        <s v="Sales"/>
        <s v="Finance"/>
        <s v="Human Resources"/>
        <s v="Operations"/>
      </sharedItems>
    </cacheField>
    <cacheField name="Planned_Salary" numFmtId="172">
      <sharedItems containsSemiMixedTypes="0" containsString="0" containsNumber="1" containsInteger="1" minValue="533000" maxValue="1651000"/>
    </cacheField>
    <cacheField name="Actual_Salary" numFmtId="172">
      <sharedItems containsSemiMixedTypes="0" containsString="0" containsNumber="1" containsInteger="1" minValue="508000" maxValue="1572000"/>
    </cacheField>
    <cacheField name="Salary_Variance" numFmtId="172">
      <sharedItems containsSemiMixedTypes="0" containsString="0" containsNumber="1" containsInteger="1" minValue="-79000" maxValue="-25000"/>
    </cacheField>
    <cacheField name="Planned_Training" numFmtId="172">
      <sharedItems containsSemiMixedTypes="0" containsString="0" containsNumber="1" containsInteger="1" minValue="14000" maxValue="33000"/>
    </cacheField>
    <cacheField name="Actual Training" numFmtId="172">
      <sharedItems containsSemiMixedTypes="0" containsString="0" containsNumber="1" containsInteger="1" minValue="15000" maxValue="35000"/>
    </cacheField>
    <cacheField name="Training Var." numFmtId="172">
      <sharedItems containsSemiMixedTypes="0" containsString="0" containsNumber="1" containsInteger="1" minValue="1000" maxValue="2000"/>
    </cacheField>
    <cacheField name="Total Planned" numFmtId="172">
      <sharedItems containsSemiMixedTypes="0" containsString="0" containsNumber="1" containsInteger="1" minValue="557000" maxValue="1672000"/>
    </cacheField>
    <cacheField name="Total Actual" numFmtId="172">
      <sharedItems containsSemiMixedTypes="0" containsString="0" containsNumber="1" containsInteger="1" minValue="533000" maxValue="1594000"/>
    </cacheField>
    <cacheField name="Total Var." numFmtId="172">
      <sharedItems containsSemiMixedTypes="0" containsString="0" containsNumber="1" containsInteger="1" minValue="-78000" maxValue="-2400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we" refreshedDate="46292.664092361112" createdVersion="3" refreshedVersion="3" minRefreshableVersion="3" recordCount="500">
  <cacheSource type="worksheet">
    <worksheetSource ref="A1:J501" sheet="Employee_Data"/>
  </cacheSource>
  <cacheFields count="10">
    <cacheField name="Employee_ID" numFmtId="0">
      <sharedItems count="5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</sharedItems>
    </cacheField>
    <cacheField name="Department" numFmtId="0">
      <sharedItems count="5">
        <s v="Engineering"/>
        <s v="Sales"/>
        <s v="Finance"/>
        <s v="Human Resources"/>
        <s v="Operations"/>
      </sharedItems>
    </cacheField>
    <cacheField name="Role" numFmtId="0">
      <sharedItems/>
    </cacheField>
    <cacheField name="Job_Level" numFmtId="0">
      <sharedItems/>
    </cacheField>
    <cacheField name="Salary" numFmtId="164">
      <sharedItems containsSemiMixedTypes="0" containsString="0" containsNumber="1" containsInteger="1" minValue="508000" maxValue="1572000"/>
    </cacheField>
    <cacheField name="Benefits" numFmtId="164">
      <sharedItems containsSemiMixedTypes="0" containsString="0" containsNumber="1" containsInteger="1" minValue="54000" maxValue="218000"/>
    </cacheField>
    <cacheField name="Training_Cost" numFmtId="164">
      <sharedItems containsSemiMixedTypes="0" containsString="0" containsNumber="1" containsInteger="1" minValue="15000" maxValue="35000"/>
    </cacheField>
    <cacheField name="Status" numFmtId="0">
      <sharedItems/>
    </cacheField>
    <cacheField name="Total_Compensation" numFmtId="164">
      <sharedItems containsSemiMixedTypes="0" containsString="0" containsNumber="1" containsInteger="1" minValue="562000" maxValue="1790000"/>
    </cacheField>
    <cacheField name="Annual_Cost" numFmtId="164">
      <sharedItems containsSemiMixedTypes="0" containsString="0" containsNumber="1" containsInteger="1" minValue="587000" maxValue="1812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EMP0001"/>
    <x v="0"/>
    <n v="856000"/>
    <n v="815000"/>
    <n v="-41000"/>
    <n v="21000"/>
    <n v="22000"/>
    <n v="1000"/>
    <n v="877000"/>
    <n v="837000"/>
    <n v="-40000"/>
  </r>
  <r>
    <s v="EMP0002"/>
    <x v="0"/>
    <n v="803000"/>
    <n v="765000"/>
    <n v="-38000"/>
    <n v="29000"/>
    <n v="30000"/>
    <n v="1000"/>
    <n v="832000"/>
    <n v="795000"/>
    <n v="-37000"/>
  </r>
  <r>
    <s v="EMP0003"/>
    <x v="0"/>
    <n v="719000"/>
    <n v="685000"/>
    <n v="-34000"/>
    <n v="21000"/>
    <n v="22000"/>
    <n v="1000"/>
    <n v="740000"/>
    <n v="707000"/>
    <n v="-33000"/>
  </r>
  <r>
    <s v="EMP0004"/>
    <x v="0"/>
    <n v="938000"/>
    <n v="893000"/>
    <n v="-45000"/>
    <n v="24000"/>
    <n v="25000"/>
    <n v="1000"/>
    <n v="962000"/>
    <n v="918000"/>
    <n v="-44000"/>
  </r>
  <r>
    <s v="EMP0005"/>
    <x v="0"/>
    <n v="815000"/>
    <n v="776000"/>
    <n v="-39000"/>
    <n v="27000"/>
    <n v="28000"/>
    <n v="1000"/>
    <n v="842000"/>
    <n v="804000"/>
    <n v="-38000"/>
  </r>
  <r>
    <s v="EMP0006"/>
    <x v="0"/>
    <n v="807000"/>
    <n v="769000"/>
    <n v="-38000"/>
    <n v="29000"/>
    <n v="30000"/>
    <n v="1000"/>
    <n v="836000"/>
    <n v="799000"/>
    <n v="-37000"/>
  </r>
  <r>
    <s v="EMP0007"/>
    <x v="0"/>
    <n v="922000"/>
    <n v="878000"/>
    <n v="-44000"/>
    <n v="33000"/>
    <n v="35000"/>
    <n v="2000"/>
    <n v="955000"/>
    <n v="913000"/>
    <n v="-42000"/>
  </r>
  <r>
    <s v="EMP0008"/>
    <x v="0"/>
    <n v="1497000"/>
    <n v="1426000"/>
    <n v="-71000"/>
    <n v="27000"/>
    <n v="28000"/>
    <n v="1000"/>
    <n v="1524000"/>
    <n v="1454000"/>
    <n v="-70000"/>
  </r>
  <r>
    <s v="EMP0009"/>
    <x v="0"/>
    <n v="860000"/>
    <n v="819000"/>
    <n v="-41000"/>
    <n v="24000"/>
    <n v="25000"/>
    <n v="1000"/>
    <n v="884000"/>
    <n v="844000"/>
    <n v="-40000"/>
  </r>
  <r>
    <s v="EMP0010"/>
    <x v="0"/>
    <n v="744000"/>
    <n v="709000"/>
    <n v="-35000"/>
    <n v="33000"/>
    <n v="35000"/>
    <n v="2000"/>
    <n v="777000"/>
    <n v="744000"/>
    <n v="-33000"/>
  </r>
  <r>
    <s v="EMP0011"/>
    <x v="0"/>
    <n v="1134000"/>
    <n v="1080000"/>
    <n v="-54000"/>
    <n v="24000"/>
    <n v="25000"/>
    <n v="1000"/>
    <n v="1158000"/>
    <n v="1105000"/>
    <n v="-53000"/>
  </r>
  <r>
    <s v="EMP0012"/>
    <x v="0"/>
    <n v="865000"/>
    <n v="824000"/>
    <n v="-41000"/>
    <n v="21000"/>
    <n v="22000"/>
    <n v="1000"/>
    <n v="886000"/>
    <n v="846000"/>
    <n v="-40000"/>
  </r>
  <r>
    <s v="EMP0013"/>
    <x v="0"/>
    <n v="1290000"/>
    <n v="1229000"/>
    <n v="-61000"/>
    <n v="21000"/>
    <n v="22000"/>
    <n v="1000"/>
    <n v="1311000"/>
    <n v="1251000"/>
    <n v="-60000"/>
  </r>
  <r>
    <s v="EMP0014"/>
    <x v="0"/>
    <n v="956000"/>
    <n v="910000"/>
    <n v="-46000"/>
    <n v="14000"/>
    <n v="15000"/>
    <n v="1000"/>
    <n v="970000"/>
    <n v="925000"/>
    <n v="-45000"/>
  </r>
  <r>
    <s v="EMP0015"/>
    <x v="0"/>
    <n v="1056000"/>
    <n v="1006000"/>
    <n v="-50000"/>
    <n v="27000"/>
    <n v="28000"/>
    <n v="1000"/>
    <n v="1083000"/>
    <n v="1034000"/>
    <n v="-49000"/>
  </r>
  <r>
    <s v="EMP0016"/>
    <x v="0"/>
    <n v="1264000"/>
    <n v="1204000"/>
    <n v="-60000"/>
    <n v="19000"/>
    <n v="20000"/>
    <n v="1000"/>
    <n v="1283000"/>
    <n v="1224000"/>
    <n v="-59000"/>
  </r>
  <r>
    <s v="EMP0017"/>
    <x v="0"/>
    <n v="774000"/>
    <n v="737000"/>
    <n v="-37000"/>
    <n v="29000"/>
    <n v="30000"/>
    <n v="1000"/>
    <n v="803000"/>
    <n v="767000"/>
    <n v="-36000"/>
  </r>
  <r>
    <s v="EMP0018"/>
    <x v="0"/>
    <n v="1095000"/>
    <n v="1043000"/>
    <n v="-52000"/>
    <n v="33000"/>
    <n v="35000"/>
    <n v="2000"/>
    <n v="1128000"/>
    <n v="1078000"/>
    <n v="-50000"/>
  </r>
  <r>
    <s v="EMP0019"/>
    <x v="0"/>
    <n v="698000"/>
    <n v="665000"/>
    <n v="-33000"/>
    <n v="29000"/>
    <n v="30000"/>
    <n v="1000"/>
    <n v="727000"/>
    <n v="695000"/>
    <n v="-32000"/>
  </r>
  <r>
    <s v="EMP0020"/>
    <x v="0"/>
    <n v="1191000"/>
    <n v="1134000"/>
    <n v="-57000"/>
    <n v="24000"/>
    <n v="25000"/>
    <n v="1000"/>
    <n v="1215000"/>
    <n v="1159000"/>
    <n v="-56000"/>
  </r>
  <r>
    <s v="EMP0021"/>
    <x v="0"/>
    <n v="616000"/>
    <n v="587000"/>
    <n v="-29000"/>
    <n v="24000"/>
    <n v="25000"/>
    <n v="1000"/>
    <n v="640000"/>
    <n v="612000"/>
    <n v="-28000"/>
  </r>
  <r>
    <s v="EMP0022"/>
    <x v="0"/>
    <n v="1114000"/>
    <n v="1061000"/>
    <n v="-53000"/>
    <n v="14000"/>
    <n v="15000"/>
    <n v="1000"/>
    <n v="1128000"/>
    <n v="1076000"/>
    <n v="-52000"/>
  </r>
  <r>
    <s v="EMP0023"/>
    <x v="0"/>
    <n v="654000"/>
    <n v="623000"/>
    <n v="-31000"/>
    <n v="19000"/>
    <n v="20000"/>
    <n v="1000"/>
    <n v="673000"/>
    <n v="643000"/>
    <n v="-30000"/>
  </r>
  <r>
    <s v="EMP0024"/>
    <x v="0"/>
    <n v="784000"/>
    <n v="747000"/>
    <n v="-37000"/>
    <n v="21000"/>
    <n v="22000"/>
    <n v="1000"/>
    <n v="805000"/>
    <n v="769000"/>
    <n v="-36000"/>
  </r>
  <r>
    <s v="EMP0025"/>
    <x v="0"/>
    <n v="909000"/>
    <n v="866000"/>
    <n v="-43000"/>
    <n v="14000"/>
    <n v="15000"/>
    <n v="1000"/>
    <n v="923000"/>
    <n v="881000"/>
    <n v="-42000"/>
  </r>
  <r>
    <s v="EMP0026"/>
    <x v="0"/>
    <n v="1068000"/>
    <n v="1017000"/>
    <n v="-51000"/>
    <n v="24000"/>
    <n v="25000"/>
    <n v="1000"/>
    <n v="1092000"/>
    <n v="1042000"/>
    <n v="-50000"/>
  </r>
  <r>
    <s v="EMP0027"/>
    <x v="0"/>
    <n v="775000"/>
    <n v="738000"/>
    <n v="-37000"/>
    <n v="33000"/>
    <n v="35000"/>
    <n v="2000"/>
    <n v="808000"/>
    <n v="773000"/>
    <n v="-35000"/>
  </r>
  <r>
    <s v="EMP0028"/>
    <x v="0"/>
    <n v="1549000"/>
    <n v="1475000"/>
    <n v="-74000"/>
    <n v="33000"/>
    <n v="35000"/>
    <n v="2000"/>
    <n v="1582000"/>
    <n v="1510000"/>
    <n v="-72000"/>
  </r>
  <r>
    <s v="EMP0029"/>
    <x v="0"/>
    <n v="769000"/>
    <n v="732000"/>
    <n v="-37000"/>
    <n v="21000"/>
    <n v="22000"/>
    <n v="1000"/>
    <n v="790000"/>
    <n v="754000"/>
    <n v="-36000"/>
  </r>
  <r>
    <s v="EMP0030"/>
    <x v="0"/>
    <n v="939000"/>
    <n v="894000"/>
    <n v="-45000"/>
    <n v="29000"/>
    <n v="30000"/>
    <n v="1000"/>
    <n v="968000"/>
    <n v="924000"/>
    <n v="-44000"/>
  </r>
  <r>
    <s v="EMP0031"/>
    <x v="0"/>
    <n v="942000"/>
    <n v="897000"/>
    <n v="-45000"/>
    <n v="17000"/>
    <n v="18000"/>
    <n v="1000"/>
    <n v="959000"/>
    <n v="915000"/>
    <n v="-44000"/>
  </r>
  <r>
    <s v="EMP0032"/>
    <x v="0"/>
    <n v="684000"/>
    <n v="651000"/>
    <n v="-33000"/>
    <n v="21000"/>
    <n v="22000"/>
    <n v="1000"/>
    <n v="705000"/>
    <n v="673000"/>
    <n v="-32000"/>
  </r>
  <r>
    <s v="EMP0033"/>
    <x v="0"/>
    <n v="815000"/>
    <n v="776000"/>
    <n v="-39000"/>
    <n v="14000"/>
    <n v="15000"/>
    <n v="1000"/>
    <n v="829000"/>
    <n v="791000"/>
    <n v="-38000"/>
  </r>
  <r>
    <s v="EMP0034"/>
    <x v="0"/>
    <n v="720000"/>
    <n v="686000"/>
    <n v="-34000"/>
    <n v="21000"/>
    <n v="22000"/>
    <n v="1000"/>
    <n v="741000"/>
    <n v="708000"/>
    <n v="-33000"/>
  </r>
  <r>
    <s v="EMP0035"/>
    <x v="0"/>
    <n v="977000"/>
    <n v="930000"/>
    <n v="-47000"/>
    <n v="21000"/>
    <n v="22000"/>
    <n v="1000"/>
    <n v="998000"/>
    <n v="952000"/>
    <n v="-46000"/>
  </r>
  <r>
    <s v="EMP0036"/>
    <x v="0"/>
    <n v="841000"/>
    <n v="801000"/>
    <n v="-40000"/>
    <n v="29000"/>
    <n v="30000"/>
    <n v="1000"/>
    <n v="870000"/>
    <n v="831000"/>
    <n v="-39000"/>
  </r>
  <r>
    <s v="EMP0037"/>
    <x v="0"/>
    <n v="1259000"/>
    <n v="1199000"/>
    <n v="-60000"/>
    <n v="17000"/>
    <n v="18000"/>
    <n v="1000"/>
    <n v="1276000"/>
    <n v="1217000"/>
    <n v="-59000"/>
  </r>
  <r>
    <s v="EMP0038"/>
    <x v="0"/>
    <n v="961000"/>
    <n v="915000"/>
    <n v="-46000"/>
    <n v="21000"/>
    <n v="22000"/>
    <n v="1000"/>
    <n v="982000"/>
    <n v="937000"/>
    <n v="-45000"/>
  </r>
  <r>
    <s v="EMP0039"/>
    <x v="0"/>
    <n v="1147000"/>
    <n v="1092000"/>
    <n v="-55000"/>
    <n v="21000"/>
    <n v="22000"/>
    <n v="1000"/>
    <n v="1168000"/>
    <n v="1114000"/>
    <n v="-54000"/>
  </r>
  <r>
    <s v="EMP0040"/>
    <x v="0"/>
    <n v="815000"/>
    <n v="776000"/>
    <n v="-39000"/>
    <n v="17000"/>
    <n v="18000"/>
    <n v="1000"/>
    <n v="832000"/>
    <n v="794000"/>
    <n v="-38000"/>
  </r>
  <r>
    <s v="EMP0041"/>
    <x v="0"/>
    <n v="1651000"/>
    <n v="1572000"/>
    <n v="-79000"/>
    <n v="21000"/>
    <n v="22000"/>
    <n v="1000"/>
    <n v="1672000"/>
    <n v="1594000"/>
    <n v="-78000"/>
  </r>
  <r>
    <s v="EMP0042"/>
    <x v="0"/>
    <n v="1094000"/>
    <n v="1042000"/>
    <n v="-52000"/>
    <n v="14000"/>
    <n v="15000"/>
    <n v="1000"/>
    <n v="1108000"/>
    <n v="1057000"/>
    <n v="-51000"/>
  </r>
  <r>
    <s v="EMP0043"/>
    <x v="0"/>
    <n v="746000"/>
    <n v="710000"/>
    <n v="-36000"/>
    <n v="33000"/>
    <n v="35000"/>
    <n v="2000"/>
    <n v="779000"/>
    <n v="745000"/>
    <n v="-34000"/>
  </r>
  <r>
    <s v="EMP0044"/>
    <x v="0"/>
    <n v="1003000"/>
    <n v="955000"/>
    <n v="-48000"/>
    <n v="33000"/>
    <n v="35000"/>
    <n v="2000"/>
    <n v="1036000"/>
    <n v="990000"/>
    <n v="-46000"/>
  </r>
  <r>
    <s v="EMP0045"/>
    <x v="0"/>
    <n v="1285000"/>
    <n v="1224000"/>
    <n v="-61000"/>
    <n v="14000"/>
    <n v="15000"/>
    <n v="1000"/>
    <n v="1299000"/>
    <n v="1239000"/>
    <n v="-60000"/>
  </r>
  <r>
    <s v="EMP0046"/>
    <x v="0"/>
    <n v="778000"/>
    <n v="741000"/>
    <n v="-37000"/>
    <n v="19000"/>
    <n v="20000"/>
    <n v="1000"/>
    <n v="797000"/>
    <n v="761000"/>
    <n v="-36000"/>
  </r>
  <r>
    <s v="EMP0047"/>
    <x v="0"/>
    <n v="1256000"/>
    <n v="1196000"/>
    <n v="-60000"/>
    <n v="17000"/>
    <n v="18000"/>
    <n v="1000"/>
    <n v="1273000"/>
    <n v="1214000"/>
    <n v="-59000"/>
  </r>
  <r>
    <s v="EMP0048"/>
    <x v="0"/>
    <n v="700000"/>
    <n v="667000"/>
    <n v="-33000"/>
    <n v="21000"/>
    <n v="22000"/>
    <n v="1000"/>
    <n v="721000"/>
    <n v="689000"/>
    <n v="-32000"/>
  </r>
  <r>
    <s v="EMP0049"/>
    <x v="0"/>
    <n v="694000"/>
    <n v="661000"/>
    <n v="-33000"/>
    <n v="27000"/>
    <n v="28000"/>
    <n v="1000"/>
    <n v="721000"/>
    <n v="689000"/>
    <n v="-32000"/>
  </r>
  <r>
    <s v="EMP0050"/>
    <x v="0"/>
    <n v="799000"/>
    <n v="761000"/>
    <n v="-38000"/>
    <n v="29000"/>
    <n v="30000"/>
    <n v="1000"/>
    <n v="828000"/>
    <n v="791000"/>
    <n v="-37000"/>
  </r>
  <r>
    <s v="EMP0051"/>
    <x v="0"/>
    <n v="946000"/>
    <n v="901000"/>
    <n v="-45000"/>
    <n v="17000"/>
    <n v="18000"/>
    <n v="1000"/>
    <n v="963000"/>
    <n v="919000"/>
    <n v="-44000"/>
  </r>
  <r>
    <s v="EMP0052"/>
    <x v="0"/>
    <n v="967000"/>
    <n v="921000"/>
    <n v="-46000"/>
    <n v="21000"/>
    <n v="22000"/>
    <n v="1000"/>
    <n v="988000"/>
    <n v="943000"/>
    <n v="-45000"/>
  </r>
  <r>
    <s v="EMP0053"/>
    <x v="0"/>
    <n v="738000"/>
    <n v="703000"/>
    <n v="-35000"/>
    <n v="21000"/>
    <n v="22000"/>
    <n v="1000"/>
    <n v="759000"/>
    <n v="725000"/>
    <n v="-34000"/>
  </r>
  <r>
    <s v="EMP0054"/>
    <x v="0"/>
    <n v="819000"/>
    <n v="780000"/>
    <n v="-39000"/>
    <n v="14000"/>
    <n v="15000"/>
    <n v="1000"/>
    <n v="833000"/>
    <n v="795000"/>
    <n v="-38000"/>
  </r>
  <r>
    <s v="EMP0055"/>
    <x v="0"/>
    <n v="1044000"/>
    <n v="994000"/>
    <n v="-50000"/>
    <n v="19000"/>
    <n v="20000"/>
    <n v="1000"/>
    <n v="1063000"/>
    <n v="1014000"/>
    <n v="-49000"/>
  </r>
  <r>
    <s v="EMP0056"/>
    <x v="0"/>
    <n v="726000"/>
    <n v="691000"/>
    <n v="-35000"/>
    <n v="24000"/>
    <n v="25000"/>
    <n v="1000"/>
    <n v="750000"/>
    <n v="716000"/>
    <n v="-34000"/>
  </r>
  <r>
    <s v="EMP0057"/>
    <x v="0"/>
    <n v="843000"/>
    <n v="803000"/>
    <n v="-40000"/>
    <n v="24000"/>
    <n v="25000"/>
    <n v="1000"/>
    <n v="867000"/>
    <n v="828000"/>
    <n v="-39000"/>
  </r>
  <r>
    <s v="EMP0058"/>
    <x v="0"/>
    <n v="832000"/>
    <n v="792000"/>
    <n v="-40000"/>
    <n v="29000"/>
    <n v="30000"/>
    <n v="1000"/>
    <n v="861000"/>
    <n v="822000"/>
    <n v="-39000"/>
  </r>
  <r>
    <s v="EMP0059"/>
    <x v="0"/>
    <n v="736000"/>
    <n v="701000"/>
    <n v="-35000"/>
    <n v="24000"/>
    <n v="25000"/>
    <n v="1000"/>
    <n v="760000"/>
    <n v="726000"/>
    <n v="-34000"/>
  </r>
  <r>
    <s v="EMP0060"/>
    <x v="0"/>
    <n v="1219000"/>
    <n v="1161000"/>
    <n v="-58000"/>
    <n v="17000"/>
    <n v="18000"/>
    <n v="1000"/>
    <n v="1236000"/>
    <n v="1179000"/>
    <n v="-57000"/>
  </r>
  <r>
    <s v="EMP0061"/>
    <x v="0"/>
    <n v="750000"/>
    <n v="714000"/>
    <n v="-36000"/>
    <n v="27000"/>
    <n v="28000"/>
    <n v="1000"/>
    <n v="777000"/>
    <n v="742000"/>
    <n v="-35000"/>
  </r>
  <r>
    <s v="EMP0062"/>
    <x v="0"/>
    <n v="701000"/>
    <n v="668000"/>
    <n v="-33000"/>
    <n v="14000"/>
    <n v="15000"/>
    <n v="1000"/>
    <n v="715000"/>
    <n v="683000"/>
    <n v="-32000"/>
  </r>
  <r>
    <s v="EMP0063"/>
    <x v="0"/>
    <n v="722000"/>
    <n v="688000"/>
    <n v="-34000"/>
    <n v="29000"/>
    <n v="30000"/>
    <n v="1000"/>
    <n v="751000"/>
    <n v="718000"/>
    <n v="-33000"/>
  </r>
  <r>
    <s v="EMP0064"/>
    <x v="0"/>
    <n v="985000"/>
    <n v="938000"/>
    <n v="-47000"/>
    <n v="19000"/>
    <n v="20000"/>
    <n v="1000"/>
    <n v="1004000"/>
    <n v="958000"/>
    <n v="-46000"/>
  </r>
  <r>
    <s v="EMP0065"/>
    <x v="0"/>
    <n v="977000"/>
    <n v="930000"/>
    <n v="-47000"/>
    <n v="27000"/>
    <n v="28000"/>
    <n v="1000"/>
    <n v="1004000"/>
    <n v="958000"/>
    <n v="-46000"/>
  </r>
  <r>
    <s v="EMP0066"/>
    <x v="0"/>
    <n v="1210000"/>
    <n v="1152000"/>
    <n v="-58000"/>
    <n v="21000"/>
    <n v="22000"/>
    <n v="1000"/>
    <n v="1231000"/>
    <n v="1174000"/>
    <n v="-57000"/>
  </r>
  <r>
    <s v="EMP0067"/>
    <x v="0"/>
    <n v="824000"/>
    <n v="785000"/>
    <n v="-39000"/>
    <n v="33000"/>
    <n v="35000"/>
    <n v="2000"/>
    <n v="857000"/>
    <n v="820000"/>
    <n v="-37000"/>
  </r>
  <r>
    <s v="EMP0068"/>
    <x v="0"/>
    <n v="894000"/>
    <n v="851000"/>
    <n v="-43000"/>
    <n v="21000"/>
    <n v="22000"/>
    <n v="1000"/>
    <n v="915000"/>
    <n v="873000"/>
    <n v="-42000"/>
  </r>
  <r>
    <s v="EMP0069"/>
    <x v="0"/>
    <n v="933000"/>
    <n v="889000"/>
    <n v="-44000"/>
    <n v="17000"/>
    <n v="18000"/>
    <n v="1000"/>
    <n v="950000"/>
    <n v="907000"/>
    <n v="-43000"/>
  </r>
  <r>
    <s v="EMP0070"/>
    <x v="0"/>
    <n v="788000"/>
    <n v="750000"/>
    <n v="-38000"/>
    <n v="27000"/>
    <n v="28000"/>
    <n v="1000"/>
    <n v="815000"/>
    <n v="778000"/>
    <n v="-37000"/>
  </r>
  <r>
    <s v="EMP0071"/>
    <x v="0"/>
    <n v="842000"/>
    <n v="802000"/>
    <n v="-40000"/>
    <n v="24000"/>
    <n v="25000"/>
    <n v="1000"/>
    <n v="866000"/>
    <n v="827000"/>
    <n v="-39000"/>
  </r>
  <r>
    <s v="EMP0072"/>
    <x v="0"/>
    <n v="922000"/>
    <n v="878000"/>
    <n v="-44000"/>
    <n v="29000"/>
    <n v="30000"/>
    <n v="1000"/>
    <n v="951000"/>
    <n v="908000"/>
    <n v="-43000"/>
  </r>
  <r>
    <s v="EMP0073"/>
    <x v="0"/>
    <n v="1137000"/>
    <n v="1083000"/>
    <n v="-54000"/>
    <n v="24000"/>
    <n v="25000"/>
    <n v="1000"/>
    <n v="1161000"/>
    <n v="1108000"/>
    <n v="-53000"/>
  </r>
  <r>
    <s v="EMP0074"/>
    <x v="0"/>
    <n v="1172000"/>
    <n v="1116000"/>
    <n v="-56000"/>
    <n v="21000"/>
    <n v="22000"/>
    <n v="1000"/>
    <n v="1193000"/>
    <n v="1138000"/>
    <n v="-55000"/>
  </r>
  <r>
    <s v="EMP0075"/>
    <x v="0"/>
    <n v="791000"/>
    <n v="753000"/>
    <n v="-38000"/>
    <n v="27000"/>
    <n v="28000"/>
    <n v="1000"/>
    <n v="818000"/>
    <n v="781000"/>
    <n v="-37000"/>
  </r>
  <r>
    <s v="EMP0076"/>
    <x v="0"/>
    <n v="831000"/>
    <n v="791000"/>
    <n v="-40000"/>
    <n v="29000"/>
    <n v="30000"/>
    <n v="1000"/>
    <n v="860000"/>
    <n v="821000"/>
    <n v="-39000"/>
  </r>
  <r>
    <s v="EMP0077"/>
    <x v="0"/>
    <n v="966000"/>
    <n v="920000"/>
    <n v="-46000"/>
    <n v="29000"/>
    <n v="30000"/>
    <n v="1000"/>
    <n v="995000"/>
    <n v="950000"/>
    <n v="-45000"/>
  </r>
  <r>
    <s v="EMP0078"/>
    <x v="0"/>
    <n v="707000"/>
    <n v="673000"/>
    <n v="-34000"/>
    <n v="14000"/>
    <n v="15000"/>
    <n v="1000"/>
    <n v="721000"/>
    <n v="688000"/>
    <n v="-33000"/>
  </r>
  <r>
    <s v="EMP0079"/>
    <x v="0"/>
    <n v="811000"/>
    <n v="772000"/>
    <n v="-39000"/>
    <n v="27000"/>
    <n v="28000"/>
    <n v="1000"/>
    <n v="838000"/>
    <n v="800000"/>
    <n v="-38000"/>
  </r>
  <r>
    <s v="EMP0080"/>
    <x v="0"/>
    <n v="1094000"/>
    <n v="1042000"/>
    <n v="-52000"/>
    <n v="19000"/>
    <n v="20000"/>
    <n v="1000"/>
    <n v="1113000"/>
    <n v="1062000"/>
    <n v="-51000"/>
  </r>
  <r>
    <s v="EMP0081"/>
    <x v="0"/>
    <n v="791000"/>
    <n v="753000"/>
    <n v="-38000"/>
    <n v="17000"/>
    <n v="18000"/>
    <n v="1000"/>
    <n v="808000"/>
    <n v="771000"/>
    <n v="-37000"/>
  </r>
  <r>
    <s v="EMP0082"/>
    <x v="0"/>
    <n v="936000"/>
    <n v="891000"/>
    <n v="-45000"/>
    <n v="21000"/>
    <n v="22000"/>
    <n v="1000"/>
    <n v="957000"/>
    <n v="913000"/>
    <n v="-44000"/>
  </r>
  <r>
    <s v="EMP0083"/>
    <x v="0"/>
    <n v="844000"/>
    <n v="804000"/>
    <n v="-40000"/>
    <n v="17000"/>
    <n v="18000"/>
    <n v="1000"/>
    <n v="861000"/>
    <n v="822000"/>
    <n v="-39000"/>
  </r>
  <r>
    <s v="EMP0084"/>
    <x v="0"/>
    <n v="700000"/>
    <n v="667000"/>
    <n v="-33000"/>
    <n v="29000"/>
    <n v="30000"/>
    <n v="1000"/>
    <n v="729000"/>
    <n v="697000"/>
    <n v="-32000"/>
  </r>
  <r>
    <s v="EMP0085"/>
    <x v="0"/>
    <n v="790000"/>
    <n v="752000"/>
    <n v="-38000"/>
    <n v="17000"/>
    <n v="18000"/>
    <n v="1000"/>
    <n v="807000"/>
    <n v="770000"/>
    <n v="-37000"/>
  </r>
  <r>
    <s v="EMP0086"/>
    <x v="0"/>
    <n v="814000"/>
    <n v="775000"/>
    <n v="-39000"/>
    <n v="33000"/>
    <n v="35000"/>
    <n v="2000"/>
    <n v="847000"/>
    <n v="810000"/>
    <n v="-37000"/>
  </r>
  <r>
    <s v="EMP0087"/>
    <x v="0"/>
    <n v="821000"/>
    <n v="782000"/>
    <n v="-39000"/>
    <n v="33000"/>
    <n v="35000"/>
    <n v="2000"/>
    <n v="854000"/>
    <n v="817000"/>
    <n v="-37000"/>
  </r>
  <r>
    <s v="EMP0088"/>
    <x v="0"/>
    <n v="1570000"/>
    <n v="1495000"/>
    <n v="-75000"/>
    <n v="33000"/>
    <n v="35000"/>
    <n v="2000"/>
    <n v="1603000"/>
    <n v="1530000"/>
    <n v="-73000"/>
  </r>
  <r>
    <s v="EMP0089"/>
    <x v="0"/>
    <n v="902000"/>
    <n v="859000"/>
    <n v="-43000"/>
    <n v="33000"/>
    <n v="35000"/>
    <n v="2000"/>
    <n v="935000"/>
    <n v="894000"/>
    <n v="-41000"/>
  </r>
  <r>
    <s v="EMP0090"/>
    <x v="0"/>
    <n v="897000"/>
    <n v="854000"/>
    <n v="-43000"/>
    <n v="21000"/>
    <n v="22000"/>
    <n v="1000"/>
    <n v="918000"/>
    <n v="876000"/>
    <n v="-42000"/>
  </r>
  <r>
    <s v="EMP0091"/>
    <x v="0"/>
    <n v="810000"/>
    <n v="771000"/>
    <n v="-39000"/>
    <n v="21000"/>
    <n v="22000"/>
    <n v="1000"/>
    <n v="831000"/>
    <n v="793000"/>
    <n v="-38000"/>
  </r>
  <r>
    <s v="EMP0092"/>
    <x v="0"/>
    <n v="728000"/>
    <n v="693000"/>
    <n v="-35000"/>
    <n v="27000"/>
    <n v="28000"/>
    <n v="1000"/>
    <n v="755000"/>
    <n v="721000"/>
    <n v="-34000"/>
  </r>
  <r>
    <s v="EMP0093"/>
    <x v="0"/>
    <n v="706000"/>
    <n v="672000"/>
    <n v="-34000"/>
    <n v="19000"/>
    <n v="20000"/>
    <n v="1000"/>
    <n v="725000"/>
    <n v="692000"/>
    <n v="-33000"/>
  </r>
  <r>
    <s v="EMP0094"/>
    <x v="0"/>
    <n v="749000"/>
    <n v="713000"/>
    <n v="-36000"/>
    <n v="29000"/>
    <n v="30000"/>
    <n v="1000"/>
    <n v="778000"/>
    <n v="743000"/>
    <n v="-35000"/>
  </r>
  <r>
    <s v="EMP0095"/>
    <x v="0"/>
    <n v="880000"/>
    <n v="838000"/>
    <n v="-42000"/>
    <n v="14000"/>
    <n v="15000"/>
    <n v="1000"/>
    <n v="894000"/>
    <n v="853000"/>
    <n v="-41000"/>
  </r>
  <r>
    <s v="EMP0096"/>
    <x v="0"/>
    <n v="878000"/>
    <n v="836000"/>
    <n v="-42000"/>
    <n v="27000"/>
    <n v="28000"/>
    <n v="1000"/>
    <n v="905000"/>
    <n v="864000"/>
    <n v="-41000"/>
  </r>
  <r>
    <s v="EMP0097"/>
    <x v="0"/>
    <n v="1266000"/>
    <n v="1206000"/>
    <n v="-60000"/>
    <n v="21000"/>
    <n v="22000"/>
    <n v="1000"/>
    <n v="1287000"/>
    <n v="1228000"/>
    <n v="-59000"/>
  </r>
  <r>
    <s v="EMP0098"/>
    <x v="0"/>
    <n v="761000"/>
    <n v="725000"/>
    <n v="-36000"/>
    <n v="29000"/>
    <n v="30000"/>
    <n v="1000"/>
    <n v="790000"/>
    <n v="755000"/>
    <n v="-35000"/>
  </r>
  <r>
    <s v="EMP0099"/>
    <x v="0"/>
    <n v="984000"/>
    <n v="937000"/>
    <n v="-47000"/>
    <n v="14000"/>
    <n v="15000"/>
    <n v="1000"/>
    <n v="998000"/>
    <n v="952000"/>
    <n v="-46000"/>
  </r>
  <r>
    <s v="EMP0100"/>
    <x v="0"/>
    <n v="988000"/>
    <n v="941000"/>
    <n v="-47000"/>
    <n v="29000"/>
    <n v="30000"/>
    <n v="1000"/>
    <n v="1017000"/>
    <n v="971000"/>
    <n v="-46000"/>
  </r>
  <r>
    <s v="EMP0101"/>
    <x v="0"/>
    <n v="1052000"/>
    <n v="1002000"/>
    <n v="-50000"/>
    <n v="21000"/>
    <n v="22000"/>
    <n v="1000"/>
    <n v="1073000"/>
    <n v="1024000"/>
    <n v="-49000"/>
  </r>
  <r>
    <s v="EMP0102"/>
    <x v="0"/>
    <n v="1263000"/>
    <n v="1203000"/>
    <n v="-60000"/>
    <n v="29000"/>
    <n v="30000"/>
    <n v="1000"/>
    <n v="1292000"/>
    <n v="1233000"/>
    <n v="-59000"/>
  </r>
  <r>
    <s v="EMP0103"/>
    <x v="0"/>
    <n v="684000"/>
    <n v="651000"/>
    <n v="-33000"/>
    <n v="27000"/>
    <n v="28000"/>
    <n v="1000"/>
    <n v="711000"/>
    <n v="679000"/>
    <n v="-32000"/>
  </r>
  <r>
    <s v="EMP0104"/>
    <x v="0"/>
    <n v="840000"/>
    <n v="800000"/>
    <n v="-40000"/>
    <n v="14000"/>
    <n v="15000"/>
    <n v="1000"/>
    <n v="854000"/>
    <n v="815000"/>
    <n v="-39000"/>
  </r>
  <r>
    <s v="EMP0105"/>
    <x v="0"/>
    <n v="684000"/>
    <n v="651000"/>
    <n v="-33000"/>
    <n v="19000"/>
    <n v="20000"/>
    <n v="1000"/>
    <n v="703000"/>
    <n v="671000"/>
    <n v="-32000"/>
  </r>
  <r>
    <s v="EMP0106"/>
    <x v="0"/>
    <n v="838000"/>
    <n v="798000"/>
    <n v="-40000"/>
    <n v="24000"/>
    <n v="25000"/>
    <n v="1000"/>
    <n v="862000"/>
    <n v="823000"/>
    <n v="-39000"/>
  </r>
  <r>
    <s v="EMP0107"/>
    <x v="0"/>
    <n v="781000"/>
    <n v="744000"/>
    <n v="-37000"/>
    <n v="17000"/>
    <n v="18000"/>
    <n v="1000"/>
    <n v="798000"/>
    <n v="762000"/>
    <n v="-36000"/>
  </r>
  <r>
    <s v="EMP0108"/>
    <x v="0"/>
    <n v="732000"/>
    <n v="697000"/>
    <n v="-35000"/>
    <n v="24000"/>
    <n v="25000"/>
    <n v="1000"/>
    <n v="756000"/>
    <n v="722000"/>
    <n v="-34000"/>
  </r>
  <r>
    <s v="EMP0109"/>
    <x v="0"/>
    <n v="671000"/>
    <n v="639000"/>
    <n v="-32000"/>
    <n v="21000"/>
    <n v="22000"/>
    <n v="1000"/>
    <n v="692000"/>
    <n v="661000"/>
    <n v="-31000"/>
  </r>
  <r>
    <s v="EMP0110"/>
    <x v="0"/>
    <n v="981000"/>
    <n v="934000"/>
    <n v="-47000"/>
    <n v="24000"/>
    <n v="25000"/>
    <n v="1000"/>
    <n v="1005000"/>
    <n v="959000"/>
    <n v="-46000"/>
  </r>
  <r>
    <s v="EMP0111"/>
    <x v="0"/>
    <n v="876000"/>
    <n v="834000"/>
    <n v="-42000"/>
    <n v="14000"/>
    <n v="15000"/>
    <n v="1000"/>
    <n v="890000"/>
    <n v="849000"/>
    <n v="-41000"/>
  </r>
  <r>
    <s v="EMP0112"/>
    <x v="0"/>
    <n v="1134000"/>
    <n v="1080000"/>
    <n v="-54000"/>
    <n v="27000"/>
    <n v="28000"/>
    <n v="1000"/>
    <n v="1161000"/>
    <n v="1108000"/>
    <n v="-53000"/>
  </r>
  <r>
    <s v="EMP0113"/>
    <x v="0"/>
    <n v="1164000"/>
    <n v="1109000"/>
    <n v="-55000"/>
    <n v="27000"/>
    <n v="28000"/>
    <n v="1000"/>
    <n v="1191000"/>
    <n v="1137000"/>
    <n v="-54000"/>
  </r>
  <r>
    <s v="EMP0114"/>
    <x v="0"/>
    <n v="942000"/>
    <n v="897000"/>
    <n v="-45000"/>
    <n v="24000"/>
    <n v="25000"/>
    <n v="1000"/>
    <n v="966000"/>
    <n v="922000"/>
    <n v="-44000"/>
  </r>
  <r>
    <s v="EMP0115"/>
    <x v="0"/>
    <n v="731000"/>
    <n v="696000"/>
    <n v="-35000"/>
    <n v="24000"/>
    <n v="25000"/>
    <n v="1000"/>
    <n v="755000"/>
    <n v="721000"/>
    <n v="-34000"/>
  </r>
  <r>
    <s v="EMP0116"/>
    <x v="0"/>
    <n v="836000"/>
    <n v="796000"/>
    <n v="-40000"/>
    <n v="33000"/>
    <n v="35000"/>
    <n v="2000"/>
    <n v="869000"/>
    <n v="831000"/>
    <n v="-38000"/>
  </r>
  <r>
    <s v="EMP0117"/>
    <x v="0"/>
    <n v="1195000"/>
    <n v="1138000"/>
    <n v="-57000"/>
    <n v="14000"/>
    <n v="15000"/>
    <n v="1000"/>
    <n v="1209000"/>
    <n v="1153000"/>
    <n v="-56000"/>
  </r>
  <r>
    <s v="EMP0118"/>
    <x v="0"/>
    <n v="1163000"/>
    <n v="1108000"/>
    <n v="-55000"/>
    <n v="24000"/>
    <n v="25000"/>
    <n v="1000"/>
    <n v="1187000"/>
    <n v="1133000"/>
    <n v="-54000"/>
  </r>
  <r>
    <s v="EMP0119"/>
    <x v="0"/>
    <n v="719000"/>
    <n v="685000"/>
    <n v="-34000"/>
    <n v="14000"/>
    <n v="15000"/>
    <n v="1000"/>
    <n v="733000"/>
    <n v="700000"/>
    <n v="-33000"/>
  </r>
  <r>
    <s v="EMP0120"/>
    <x v="0"/>
    <n v="720000"/>
    <n v="686000"/>
    <n v="-34000"/>
    <n v="21000"/>
    <n v="22000"/>
    <n v="1000"/>
    <n v="741000"/>
    <n v="708000"/>
    <n v="-33000"/>
  </r>
  <r>
    <s v="EMP0121"/>
    <x v="0"/>
    <n v="952000"/>
    <n v="907000"/>
    <n v="-45000"/>
    <n v="17000"/>
    <n v="18000"/>
    <n v="1000"/>
    <n v="969000"/>
    <n v="925000"/>
    <n v="-44000"/>
  </r>
  <r>
    <s v="EMP0122"/>
    <x v="0"/>
    <n v="1101000"/>
    <n v="1049000"/>
    <n v="-52000"/>
    <n v="27000"/>
    <n v="28000"/>
    <n v="1000"/>
    <n v="1128000"/>
    <n v="1077000"/>
    <n v="-51000"/>
  </r>
  <r>
    <s v="EMP0123"/>
    <x v="0"/>
    <n v="1148000"/>
    <n v="1093000"/>
    <n v="-55000"/>
    <n v="27000"/>
    <n v="28000"/>
    <n v="1000"/>
    <n v="1175000"/>
    <n v="1121000"/>
    <n v="-54000"/>
  </r>
  <r>
    <s v="EMP0124"/>
    <x v="0"/>
    <n v="1117000"/>
    <n v="1064000"/>
    <n v="-53000"/>
    <n v="21000"/>
    <n v="22000"/>
    <n v="1000"/>
    <n v="1138000"/>
    <n v="1086000"/>
    <n v="-52000"/>
  </r>
  <r>
    <s v="EMP0125"/>
    <x v="0"/>
    <n v="990000"/>
    <n v="943000"/>
    <n v="-47000"/>
    <n v="21000"/>
    <n v="22000"/>
    <n v="1000"/>
    <n v="1011000"/>
    <n v="965000"/>
    <n v="-46000"/>
  </r>
  <r>
    <s v="EMP0126"/>
    <x v="0"/>
    <n v="1223000"/>
    <n v="1165000"/>
    <n v="-58000"/>
    <n v="24000"/>
    <n v="25000"/>
    <n v="1000"/>
    <n v="1247000"/>
    <n v="1190000"/>
    <n v="-57000"/>
  </r>
  <r>
    <s v="EMP0127"/>
    <x v="0"/>
    <n v="861000"/>
    <n v="820000"/>
    <n v="-41000"/>
    <n v="24000"/>
    <n v="25000"/>
    <n v="1000"/>
    <n v="885000"/>
    <n v="845000"/>
    <n v="-40000"/>
  </r>
  <r>
    <s v="EMP0128"/>
    <x v="0"/>
    <n v="1109000"/>
    <n v="1056000"/>
    <n v="-53000"/>
    <n v="24000"/>
    <n v="25000"/>
    <n v="1000"/>
    <n v="1133000"/>
    <n v="1081000"/>
    <n v="-52000"/>
  </r>
  <r>
    <s v="EMP0129"/>
    <x v="0"/>
    <n v="825000"/>
    <n v="786000"/>
    <n v="-39000"/>
    <n v="14000"/>
    <n v="15000"/>
    <n v="1000"/>
    <n v="839000"/>
    <n v="801000"/>
    <n v="-38000"/>
  </r>
  <r>
    <s v="EMP0130"/>
    <x v="0"/>
    <n v="1152000"/>
    <n v="1097000"/>
    <n v="-55000"/>
    <n v="14000"/>
    <n v="15000"/>
    <n v="1000"/>
    <n v="1166000"/>
    <n v="1112000"/>
    <n v="-54000"/>
  </r>
  <r>
    <s v="EMP0131"/>
    <x v="0"/>
    <n v="631000"/>
    <n v="601000"/>
    <n v="-30000"/>
    <n v="33000"/>
    <n v="35000"/>
    <n v="2000"/>
    <n v="664000"/>
    <n v="636000"/>
    <n v="-28000"/>
  </r>
  <r>
    <s v="EMP0132"/>
    <x v="0"/>
    <n v="862000"/>
    <n v="821000"/>
    <n v="-41000"/>
    <n v="24000"/>
    <n v="25000"/>
    <n v="1000"/>
    <n v="886000"/>
    <n v="846000"/>
    <n v="-40000"/>
  </r>
  <r>
    <s v="EMP0133"/>
    <x v="0"/>
    <n v="773000"/>
    <n v="736000"/>
    <n v="-37000"/>
    <n v="21000"/>
    <n v="22000"/>
    <n v="1000"/>
    <n v="794000"/>
    <n v="758000"/>
    <n v="-36000"/>
  </r>
  <r>
    <s v="EMP0134"/>
    <x v="0"/>
    <n v="1271000"/>
    <n v="1210000"/>
    <n v="-61000"/>
    <n v="29000"/>
    <n v="30000"/>
    <n v="1000"/>
    <n v="1300000"/>
    <n v="1240000"/>
    <n v="-60000"/>
  </r>
  <r>
    <s v="EMP0135"/>
    <x v="0"/>
    <n v="978000"/>
    <n v="931000"/>
    <n v="-47000"/>
    <n v="21000"/>
    <n v="22000"/>
    <n v="1000"/>
    <n v="999000"/>
    <n v="953000"/>
    <n v="-46000"/>
  </r>
  <r>
    <s v="EMP0136"/>
    <x v="0"/>
    <n v="694000"/>
    <n v="661000"/>
    <n v="-33000"/>
    <n v="17000"/>
    <n v="18000"/>
    <n v="1000"/>
    <n v="711000"/>
    <n v="679000"/>
    <n v="-32000"/>
  </r>
  <r>
    <s v="EMP0137"/>
    <x v="0"/>
    <n v="1215000"/>
    <n v="1157000"/>
    <n v="-58000"/>
    <n v="14000"/>
    <n v="15000"/>
    <n v="1000"/>
    <n v="1229000"/>
    <n v="1172000"/>
    <n v="-57000"/>
  </r>
  <r>
    <s v="EMP0138"/>
    <x v="0"/>
    <n v="996000"/>
    <n v="949000"/>
    <n v="-47000"/>
    <n v="21000"/>
    <n v="22000"/>
    <n v="1000"/>
    <n v="1017000"/>
    <n v="971000"/>
    <n v="-46000"/>
  </r>
  <r>
    <s v="EMP0139"/>
    <x v="0"/>
    <n v="926000"/>
    <n v="882000"/>
    <n v="-44000"/>
    <n v="21000"/>
    <n v="22000"/>
    <n v="1000"/>
    <n v="947000"/>
    <n v="904000"/>
    <n v="-43000"/>
  </r>
  <r>
    <s v="EMP0140"/>
    <x v="0"/>
    <n v="985000"/>
    <n v="938000"/>
    <n v="-47000"/>
    <n v="19000"/>
    <n v="20000"/>
    <n v="1000"/>
    <n v="1004000"/>
    <n v="958000"/>
    <n v="-46000"/>
  </r>
  <r>
    <s v="EMP0141"/>
    <x v="0"/>
    <n v="732000"/>
    <n v="697000"/>
    <n v="-35000"/>
    <n v="24000"/>
    <n v="25000"/>
    <n v="1000"/>
    <n v="756000"/>
    <n v="722000"/>
    <n v="-34000"/>
  </r>
  <r>
    <s v="EMP0142"/>
    <x v="0"/>
    <n v="1117000"/>
    <n v="1064000"/>
    <n v="-53000"/>
    <n v="24000"/>
    <n v="25000"/>
    <n v="1000"/>
    <n v="1141000"/>
    <n v="1089000"/>
    <n v="-52000"/>
  </r>
  <r>
    <s v="EMP0143"/>
    <x v="0"/>
    <n v="1059000"/>
    <n v="1009000"/>
    <n v="-50000"/>
    <n v="29000"/>
    <n v="30000"/>
    <n v="1000"/>
    <n v="1088000"/>
    <n v="1039000"/>
    <n v="-49000"/>
  </r>
  <r>
    <s v="EMP0144"/>
    <x v="0"/>
    <n v="856000"/>
    <n v="815000"/>
    <n v="-41000"/>
    <n v="14000"/>
    <n v="15000"/>
    <n v="1000"/>
    <n v="870000"/>
    <n v="830000"/>
    <n v="-40000"/>
  </r>
  <r>
    <s v="EMP0145"/>
    <x v="0"/>
    <n v="906000"/>
    <n v="863000"/>
    <n v="-43000"/>
    <n v="19000"/>
    <n v="20000"/>
    <n v="1000"/>
    <n v="925000"/>
    <n v="883000"/>
    <n v="-42000"/>
  </r>
  <r>
    <s v="EMP0146"/>
    <x v="0"/>
    <n v="1041000"/>
    <n v="991000"/>
    <n v="-50000"/>
    <n v="29000"/>
    <n v="30000"/>
    <n v="1000"/>
    <n v="1070000"/>
    <n v="1021000"/>
    <n v="-49000"/>
  </r>
  <r>
    <s v="EMP0147"/>
    <x v="0"/>
    <n v="1063000"/>
    <n v="1012000"/>
    <n v="-51000"/>
    <n v="27000"/>
    <n v="28000"/>
    <n v="1000"/>
    <n v="1090000"/>
    <n v="1040000"/>
    <n v="-50000"/>
  </r>
  <r>
    <s v="EMP0148"/>
    <x v="0"/>
    <n v="707000"/>
    <n v="673000"/>
    <n v="-34000"/>
    <n v="33000"/>
    <n v="35000"/>
    <n v="2000"/>
    <n v="740000"/>
    <n v="708000"/>
    <n v="-32000"/>
  </r>
  <r>
    <s v="EMP0149"/>
    <x v="0"/>
    <n v="736000"/>
    <n v="701000"/>
    <n v="-35000"/>
    <n v="33000"/>
    <n v="35000"/>
    <n v="2000"/>
    <n v="769000"/>
    <n v="736000"/>
    <n v="-33000"/>
  </r>
  <r>
    <s v="EMP0150"/>
    <x v="0"/>
    <n v="699000"/>
    <n v="666000"/>
    <n v="-33000"/>
    <n v="14000"/>
    <n v="15000"/>
    <n v="1000"/>
    <n v="713000"/>
    <n v="681000"/>
    <n v="-32000"/>
  </r>
  <r>
    <s v="EMP0151"/>
    <x v="1"/>
    <n v="676000"/>
    <n v="644000"/>
    <n v="-32000"/>
    <n v="27000"/>
    <n v="28000"/>
    <n v="1000"/>
    <n v="703000"/>
    <n v="672000"/>
    <n v="-31000"/>
  </r>
  <r>
    <s v="EMP0152"/>
    <x v="1"/>
    <n v="680000"/>
    <n v="648000"/>
    <n v="-32000"/>
    <n v="24000"/>
    <n v="25000"/>
    <n v="1000"/>
    <n v="704000"/>
    <n v="673000"/>
    <n v="-31000"/>
  </r>
  <r>
    <s v="EMP0153"/>
    <x v="1"/>
    <n v="1151000"/>
    <n v="1096000"/>
    <n v="-55000"/>
    <n v="17000"/>
    <n v="18000"/>
    <n v="1000"/>
    <n v="1168000"/>
    <n v="1114000"/>
    <n v="-54000"/>
  </r>
  <r>
    <s v="EMP0154"/>
    <x v="1"/>
    <n v="734000"/>
    <n v="699000"/>
    <n v="-35000"/>
    <n v="24000"/>
    <n v="25000"/>
    <n v="1000"/>
    <n v="758000"/>
    <n v="724000"/>
    <n v="-34000"/>
  </r>
  <r>
    <s v="EMP0155"/>
    <x v="1"/>
    <n v="628000"/>
    <n v="598000"/>
    <n v="-30000"/>
    <n v="17000"/>
    <n v="18000"/>
    <n v="1000"/>
    <n v="645000"/>
    <n v="616000"/>
    <n v="-29000"/>
  </r>
  <r>
    <s v="EMP0156"/>
    <x v="1"/>
    <n v="683000"/>
    <n v="650000"/>
    <n v="-33000"/>
    <n v="24000"/>
    <n v="25000"/>
    <n v="1000"/>
    <n v="707000"/>
    <n v="675000"/>
    <n v="-32000"/>
  </r>
  <r>
    <s v="EMP0157"/>
    <x v="1"/>
    <n v="683000"/>
    <n v="650000"/>
    <n v="-33000"/>
    <n v="21000"/>
    <n v="22000"/>
    <n v="1000"/>
    <n v="704000"/>
    <n v="672000"/>
    <n v="-32000"/>
  </r>
  <r>
    <s v="EMP0158"/>
    <x v="1"/>
    <n v="593000"/>
    <n v="565000"/>
    <n v="-28000"/>
    <n v="19000"/>
    <n v="20000"/>
    <n v="1000"/>
    <n v="612000"/>
    <n v="585000"/>
    <n v="-27000"/>
  </r>
  <r>
    <s v="EMP0159"/>
    <x v="1"/>
    <n v="676000"/>
    <n v="644000"/>
    <n v="-32000"/>
    <n v="24000"/>
    <n v="25000"/>
    <n v="1000"/>
    <n v="700000"/>
    <n v="669000"/>
    <n v="-31000"/>
  </r>
  <r>
    <s v="EMP0160"/>
    <x v="1"/>
    <n v="608000"/>
    <n v="579000"/>
    <n v="-29000"/>
    <n v="33000"/>
    <n v="35000"/>
    <n v="2000"/>
    <n v="641000"/>
    <n v="614000"/>
    <n v="-27000"/>
  </r>
  <r>
    <s v="EMP0161"/>
    <x v="1"/>
    <n v="687000"/>
    <n v="654000"/>
    <n v="-33000"/>
    <n v="29000"/>
    <n v="30000"/>
    <n v="1000"/>
    <n v="716000"/>
    <n v="684000"/>
    <n v="-32000"/>
  </r>
  <r>
    <s v="EMP0162"/>
    <x v="1"/>
    <n v="593000"/>
    <n v="565000"/>
    <n v="-28000"/>
    <n v="29000"/>
    <n v="30000"/>
    <n v="1000"/>
    <n v="622000"/>
    <n v="595000"/>
    <n v="-27000"/>
  </r>
  <r>
    <s v="EMP0163"/>
    <x v="1"/>
    <n v="812000"/>
    <n v="773000"/>
    <n v="-39000"/>
    <n v="29000"/>
    <n v="30000"/>
    <n v="1000"/>
    <n v="841000"/>
    <n v="803000"/>
    <n v="-38000"/>
  </r>
  <r>
    <s v="EMP0164"/>
    <x v="1"/>
    <n v="964000"/>
    <n v="918000"/>
    <n v="-46000"/>
    <n v="33000"/>
    <n v="35000"/>
    <n v="2000"/>
    <n v="997000"/>
    <n v="953000"/>
    <n v="-44000"/>
  </r>
  <r>
    <s v="EMP0165"/>
    <x v="1"/>
    <n v="700000"/>
    <n v="667000"/>
    <n v="-33000"/>
    <n v="17000"/>
    <n v="18000"/>
    <n v="1000"/>
    <n v="717000"/>
    <n v="685000"/>
    <n v="-32000"/>
  </r>
  <r>
    <s v="EMP0166"/>
    <x v="1"/>
    <n v="693000"/>
    <n v="660000"/>
    <n v="-33000"/>
    <n v="19000"/>
    <n v="20000"/>
    <n v="1000"/>
    <n v="712000"/>
    <n v="680000"/>
    <n v="-32000"/>
  </r>
  <r>
    <s v="EMP0167"/>
    <x v="1"/>
    <n v="834000"/>
    <n v="794000"/>
    <n v="-40000"/>
    <n v="24000"/>
    <n v="25000"/>
    <n v="1000"/>
    <n v="858000"/>
    <n v="819000"/>
    <n v="-39000"/>
  </r>
  <r>
    <s v="EMP0168"/>
    <x v="1"/>
    <n v="931000"/>
    <n v="887000"/>
    <n v="-44000"/>
    <n v="29000"/>
    <n v="30000"/>
    <n v="1000"/>
    <n v="960000"/>
    <n v="917000"/>
    <n v="-43000"/>
  </r>
  <r>
    <s v="EMP0169"/>
    <x v="1"/>
    <n v="748000"/>
    <n v="712000"/>
    <n v="-36000"/>
    <n v="14000"/>
    <n v="15000"/>
    <n v="1000"/>
    <n v="762000"/>
    <n v="727000"/>
    <n v="-35000"/>
  </r>
  <r>
    <s v="EMP0170"/>
    <x v="1"/>
    <n v="662000"/>
    <n v="630000"/>
    <n v="-32000"/>
    <n v="21000"/>
    <n v="22000"/>
    <n v="1000"/>
    <n v="683000"/>
    <n v="652000"/>
    <n v="-31000"/>
  </r>
  <r>
    <s v="EMP0171"/>
    <x v="1"/>
    <n v="629000"/>
    <n v="599000"/>
    <n v="-30000"/>
    <n v="17000"/>
    <n v="18000"/>
    <n v="1000"/>
    <n v="646000"/>
    <n v="617000"/>
    <n v="-29000"/>
  </r>
  <r>
    <s v="EMP0172"/>
    <x v="1"/>
    <n v="981000"/>
    <n v="934000"/>
    <n v="-47000"/>
    <n v="14000"/>
    <n v="15000"/>
    <n v="1000"/>
    <n v="995000"/>
    <n v="949000"/>
    <n v="-46000"/>
  </r>
  <r>
    <s v="EMP0173"/>
    <x v="1"/>
    <n v="587000"/>
    <n v="559000"/>
    <n v="-28000"/>
    <n v="19000"/>
    <n v="20000"/>
    <n v="1000"/>
    <n v="606000"/>
    <n v="579000"/>
    <n v="-27000"/>
  </r>
  <r>
    <s v="EMP0174"/>
    <x v="1"/>
    <n v="688000"/>
    <n v="655000"/>
    <n v="-33000"/>
    <n v="21000"/>
    <n v="22000"/>
    <n v="1000"/>
    <n v="709000"/>
    <n v="677000"/>
    <n v="-32000"/>
  </r>
  <r>
    <s v="EMP0175"/>
    <x v="1"/>
    <n v="649000"/>
    <n v="618000"/>
    <n v="-31000"/>
    <n v="33000"/>
    <n v="35000"/>
    <n v="2000"/>
    <n v="682000"/>
    <n v="653000"/>
    <n v="-29000"/>
  </r>
  <r>
    <s v="EMP0176"/>
    <x v="1"/>
    <n v="678000"/>
    <n v="646000"/>
    <n v="-32000"/>
    <n v="19000"/>
    <n v="20000"/>
    <n v="1000"/>
    <n v="697000"/>
    <n v="666000"/>
    <n v="-31000"/>
  </r>
  <r>
    <s v="EMP0177"/>
    <x v="1"/>
    <n v="1290000"/>
    <n v="1229000"/>
    <n v="-61000"/>
    <n v="29000"/>
    <n v="30000"/>
    <n v="1000"/>
    <n v="1319000"/>
    <n v="1259000"/>
    <n v="-60000"/>
  </r>
  <r>
    <s v="EMP0178"/>
    <x v="1"/>
    <n v="659000"/>
    <n v="628000"/>
    <n v="-31000"/>
    <n v="33000"/>
    <n v="35000"/>
    <n v="2000"/>
    <n v="692000"/>
    <n v="663000"/>
    <n v="-29000"/>
  </r>
  <r>
    <s v="EMP0179"/>
    <x v="1"/>
    <n v="616000"/>
    <n v="587000"/>
    <n v="-29000"/>
    <n v="24000"/>
    <n v="25000"/>
    <n v="1000"/>
    <n v="640000"/>
    <n v="612000"/>
    <n v="-28000"/>
  </r>
  <r>
    <s v="EMP0180"/>
    <x v="1"/>
    <n v="881000"/>
    <n v="839000"/>
    <n v="-42000"/>
    <n v="14000"/>
    <n v="15000"/>
    <n v="1000"/>
    <n v="895000"/>
    <n v="854000"/>
    <n v="-41000"/>
  </r>
  <r>
    <s v="EMP0181"/>
    <x v="1"/>
    <n v="967000"/>
    <n v="921000"/>
    <n v="-46000"/>
    <n v="21000"/>
    <n v="22000"/>
    <n v="1000"/>
    <n v="988000"/>
    <n v="943000"/>
    <n v="-45000"/>
  </r>
  <r>
    <s v="EMP0182"/>
    <x v="1"/>
    <n v="655000"/>
    <n v="624000"/>
    <n v="-31000"/>
    <n v="19000"/>
    <n v="20000"/>
    <n v="1000"/>
    <n v="674000"/>
    <n v="644000"/>
    <n v="-30000"/>
  </r>
  <r>
    <s v="EMP0183"/>
    <x v="1"/>
    <n v="1203000"/>
    <n v="1146000"/>
    <n v="-57000"/>
    <n v="33000"/>
    <n v="35000"/>
    <n v="2000"/>
    <n v="1236000"/>
    <n v="1181000"/>
    <n v="-55000"/>
  </r>
  <r>
    <s v="EMP0184"/>
    <x v="1"/>
    <n v="585000"/>
    <n v="557000"/>
    <n v="-28000"/>
    <n v="27000"/>
    <n v="28000"/>
    <n v="1000"/>
    <n v="612000"/>
    <n v="585000"/>
    <n v="-27000"/>
  </r>
  <r>
    <s v="EMP0185"/>
    <x v="1"/>
    <n v="585000"/>
    <n v="557000"/>
    <n v="-28000"/>
    <n v="27000"/>
    <n v="28000"/>
    <n v="1000"/>
    <n v="612000"/>
    <n v="585000"/>
    <n v="-27000"/>
  </r>
  <r>
    <s v="EMP0186"/>
    <x v="1"/>
    <n v="1251000"/>
    <n v="1191000"/>
    <n v="-60000"/>
    <n v="33000"/>
    <n v="35000"/>
    <n v="2000"/>
    <n v="1284000"/>
    <n v="1226000"/>
    <n v="-58000"/>
  </r>
  <r>
    <s v="EMP0187"/>
    <x v="1"/>
    <n v="688000"/>
    <n v="655000"/>
    <n v="-33000"/>
    <n v="33000"/>
    <n v="35000"/>
    <n v="2000"/>
    <n v="721000"/>
    <n v="690000"/>
    <n v="-31000"/>
  </r>
  <r>
    <s v="EMP0188"/>
    <x v="1"/>
    <n v="701000"/>
    <n v="668000"/>
    <n v="-33000"/>
    <n v="29000"/>
    <n v="30000"/>
    <n v="1000"/>
    <n v="730000"/>
    <n v="698000"/>
    <n v="-32000"/>
  </r>
  <r>
    <s v="EMP0189"/>
    <x v="1"/>
    <n v="875000"/>
    <n v="833000"/>
    <n v="-42000"/>
    <n v="14000"/>
    <n v="15000"/>
    <n v="1000"/>
    <n v="889000"/>
    <n v="848000"/>
    <n v="-41000"/>
  </r>
  <r>
    <s v="EMP0190"/>
    <x v="1"/>
    <n v="618000"/>
    <n v="589000"/>
    <n v="-29000"/>
    <n v="24000"/>
    <n v="25000"/>
    <n v="1000"/>
    <n v="642000"/>
    <n v="614000"/>
    <n v="-28000"/>
  </r>
  <r>
    <s v="EMP0191"/>
    <x v="1"/>
    <n v="988000"/>
    <n v="941000"/>
    <n v="-47000"/>
    <n v="21000"/>
    <n v="22000"/>
    <n v="1000"/>
    <n v="1009000"/>
    <n v="963000"/>
    <n v="-46000"/>
  </r>
  <r>
    <s v="EMP0192"/>
    <x v="1"/>
    <n v="756000"/>
    <n v="720000"/>
    <n v="-36000"/>
    <n v="21000"/>
    <n v="22000"/>
    <n v="1000"/>
    <n v="777000"/>
    <n v="742000"/>
    <n v="-35000"/>
  </r>
  <r>
    <s v="EMP0193"/>
    <x v="1"/>
    <n v="684000"/>
    <n v="651000"/>
    <n v="-33000"/>
    <n v="29000"/>
    <n v="30000"/>
    <n v="1000"/>
    <n v="713000"/>
    <n v="681000"/>
    <n v="-32000"/>
  </r>
  <r>
    <s v="EMP0194"/>
    <x v="1"/>
    <n v="572000"/>
    <n v="545000"/>
    <n v="-27000"/>
    <n v="17000"/>
    <n v="18000"/>
    <n v="1000"/>
    <n v="589000"/>
    <n v="563000"/>
    <n v="-26000"/>
  </r>
  <r>
    <s v="EMP0195"/>
    <x v="1"/>
    <n v="1074000"/>
    <n v="1023000"/>
    <n v="-51000"/>
    <n v="29000"/>
    <n v="30000"/>
    <n v="1000"/>
    <n v="1103000"/>
    <n v="1053000"/>
    <n v="-50000"/>
  </r>
  <r>
    <s v="EMP0196"/>
    <x v="1"/>
    <n v="978000"/>
    <n v="931000"/>
    <n v="-47000"/>
    <n v="33000"/>
    <n v="35000"/>
    <n v="2000"/>
    <n v="1011000"/>
    <n v="966000"/>
    <n v="-45000"/>
  </r>
  <r>
    <s v="EMP0197"/>
    <x v="1"/>
    <n v="1111000"/>
    <n v="1058000"/>
    <n v="-53000"/>
    <n v="21000"/>
    <n v="22000"/>
    <n v="1000"/>
    <n v="1132000"/>
    <n v="1080000"/>
    <n v="-52000"/>
  </r>
  <r>
    <s v="EMP0198"/>
    <x v="1"/>
    <n v="1257000"/>
    <n v="1197000"/>
    <n v="-60000"/>
    <n v="27000"/>
    <n v="28000"/>
    <n v="1000"/>
    <n v="1284000"/>
    <n v="1225000"/>
    <n v="-59000"/>
  </r>
  <r>
    <s v="EMP0199"/>
    <x v="1"/>
    <n v="1285000"/>
    <n v="1224000"/>
    <n v="-61000"/>
    <n v="21000"/>
    <n v="22000"/>
    <n v="1000"/>
    <n v="1306000"/>
    <n v="1246000"/>
    <n v="-60000"/>
  </r>
  <r>
    <s v="EMP0200"/>
    <x v="1"/>
    <n v="1248000"/>
    <n v="1189000"/>
    <n v="-59000"/>
    <n v="21000"/>
    <n v="22000"/>
    <n v="1000"/>
    <n v="1269000"/>
    <n v="1211000"/>
    <n v="-58000"/>
  </r>
  <r>
    <s v="EMP0201"/>
    <x v="1"/>
    <n v="617000"/>
    <n v="588000"/>
    <n v="-29000"/>
    <n v="21000"/>
    <n v="22000"/>
    <n v="1000"/>
    <n v="638000"/>
    <n v="610000"/>
    <n v="-28000"/>
  </r>
  <r>
    <s v="EMP0202"/>
    <x v="1"/>
    <n v="843000"/>
    <n v="803000"/>
    <n v="-40000"/>
    <n v="21000"/>
    <n v="22000"/>
    <n v="1000"/>
    <n v="864000"/>
    <n v="825000"/>
    <n v="-39000"/>
  </r>
  <r>
    <s v="EMP0203"/>
    <x v="1"/>
    <n v="849000"/>
    <n v="809000"/>
    <n v="-40000"/>
    <n v="14000"/>
    <n v="15000"/>
    <n v="1000"/>
    <n v="863000"/>
    <n v="824000"/>
    <n v="-39000"/>
  </r>
  <r>
    <s v="EMP0204"/>
    <x v="1"/>
    <n v="1467000"/>
    <n v="1397000"/>
    <n v="-70000"/>
    <n v="19000"/>
    <n v="20000"/>
    <n v="1000"/>
    <n v="1486000"/>
    <n v="1417000"/>
    <n v="-69000"/>
  </r>
  <r>
    <s v="EMP0205"/>
    <x v="1"/>
    <n v="1073000"/>
    <n v="1022000"/>
    <n v="-51000"/>
    <n v="21000"/>
    <n v="22000"/>
    <n v="1000"/>
    <n v="1094000"/>
    <n v="1044000"/>
    <n v="-50000"/>
  </r>
  <r>
    <s v="EMP0206"/>
    <x v="1"/>
    <n v="604000"/>
    <n v="575000"/>
    <n v="-29000"/>
    <n v="29000"/>
    <n v="30000"/>
    <n v="1000"/>
    <n v="633000"/>
    <n v="605000"/>
    <n v="-28000"/>
  </r>
  <r>
    <s v="EMP0207"/>
    <x v="1"/>
    <n v="897000"/>
    <n v="854000"/>
    <n v="-43000"/>
    <n v="17000"/>
    <n v="18000"/>
    <n v="1000"/>
    <n v="914000"/>
    <n v="872000"/>
    <n v="-42000"/>
  </r>
  <r>
    <s v="EMP0208"/>
    <x v="1"/>
    <n v="652000"/>
    <n v="621000"/>
    <n v="-31000"/>
    <n v="24000"/>
    <n v="25000"/>
    <n v="1000"/>
    <n v="676000"/>
    <n v="646000"/>
    <n v="-30000"/>
  </r>
  <r>
    <s v="EMP0209"/>
    <x v="1"/>
    <n v="1199000"/>
    <n v="1142000"/>
    <n v="-57000"/>
    <n v="29000"/>
    <n v="30000"/>
    <n v="1000"/>
    <n v="1228000"/>
    <n v="1172000"/>
    <n v="-56000"/>
  </r>
  <r>
    <s v="EMP0210"/>
    <x v="1"/>
    <n v="666000"/>
    <n v="634000"/>
    <n v="-32000"/>
    <n v="17000"/>
    <n v="18000"/>
    <n v="1000"/>
    <n v="683000"/>
    <n v="652000"/>
    <n v="-31000"/>
  </r>
  <r>
    <s v="EMP0211"/>
    <x v="1"/>
    <n v="585000"/>
    <n v="557000"/>
    <n v="-28000"/>
    <n v="27000"/>
    <n v="28000"/>
    <n v="1000"/>
    <n v="612000"/>
    <n v="585000"/>
    <n v="-27000"/>
  </r>
  <r>
    <s v="EMP0212"/>
    <x v="1"/>
    <n v="658000"/>
    <n v="627000"/>
    <n v="-31000"/>
    <n v="29000"/>
    <n v="30000"/>
    <n v="1000"/>
    <n v="687000"/>
    <n v="657000"/>
    <n v="-30000"/>
  </r>
  <r>
    <s v="EMP0213"/>
    <x v="1"/>
    <n v="970000"/>
    <n v="924000"/>
    <n v="-46000"/>
    <n v="21000"/>
    <n v="22000"/>
    <n v="1000"/>
    <n v="991000"/>
    <n v="946000"/>
    <n v="-45000"/>
  </r>
  <r>
    <s v="EMP0214"/>
    <x v="1"/>
    <n v="1145000"/>
    <n v="1090000"/>
    <n v="-55000"/>
    <n v="29000"/>
    <n v="30000"/>
    <n v="1000"/>
    <n v="1174000"/>
    <n v="1120000"/>
    <n v="-54000"/>
  </r>
  <r>
    <s v="EMP0215"/>
    <x v="1"/>
    <n v="626000"/>
    <n v="596000"/>
    <n v="-30000"/>
    <n v="27000"/>
    <n v="28000"/>
    <n v="1000"/>
    <n v="653000"/>
    <n v="624000"/>
    <n v="-29000"/>
  </r>
  <r>
    <s v="EMP0216"/>
    <x v="1"/>
    <n v="897000"/>
    <n v="854000"/>
    <n v="-43000"/>
    <n v="17000"/>
    <n v="18000"/>
    <n v="1000"/>
    <n v="914000"/>
    <n v="872000"/>
    <n v="-42000"/>
  </r>
  <r>
    <s v="EMP0217"/>
    <x v="1"/>
    <n v="670000"/>
    <n v="638000"/>
    <n v="-32000"/>
    <n v="14000"/>
    <n v="15000"/>
    <n v="1000"/>
    <n v="684000"/>
    <n v="653000"/>
    <n v="-31000"/>
  </r>
  <r>
    <s v="EMP0218"/>
    <x v="1"/>
    <n v="664000"/>
    <n v="632000"/>
    <n v="-32000"/>
    <n v="27000"/>
    <n v="28000"/>
    <n v="1000"/>
    <n v="691000"/>
    <n v="660000"/>
    <n v="-31000"/>
  </r>
  <r>
    <s v="EMP0219"/>
    <x v="1"/>
    <n v="1147000"/>
    <n v="1092000"/>
    <n v="-55000"/>
    <n v="14000"/>
    <n v="15000"/>
    <n v="1000"/>
    <n v="1161000"/>
    <n v="1107000"/>
    <n v="-54000"/>
  </r>
  <r>
    <s v="EMP0220"/>
    <x v="1"/>
    <n v="667000"/>
    <n v="635000"/>
    <n v="-32000"/>
    <n v="21000"/>
    <n v="22000"/>
    <n v="1000"/>
    <n v="688000"/>
    <n v="657000"/>
    <n v="-31000"/>
  </r>
  <r>
    <s v="EMP0221"/>
    <x v="1"/>
    <n v="741000"/>
    <n v="706000"/>
    <n v="-35000"/>
    <n v="27000"/>
    <n v="28000"/>
    <n v="1000"/>
    <n v="768000"/>
    <n v="734000"/>
    <n v="-34000"/>
  </r>
  <r>
    <s v="EMP0222"/>
    <x v="1"/>
    <n v="599000"/>
    <n v="570000"/>
    <n v="-29000"/>
    <n v="14000"/>
    <n v="15000"/>
    <n v="1000"/>
    <n v="613000"/>
    <n v="585000"/>
    <n v="-28000"/>
  </r>
  <r>
    <s v="EMP0223"/>
    <x v="1"/>
    <n v="940000"/>
    <n v="895000"/>
    <n v="-45000"/>
    <n v="24000"/>
    <n v="25000"/>
    <n v="1000"/>
    <n v="964000"/>
    <n v="920000"/>
    <n v="-44000"/>
  </r>
  <r>
    <s v="EMP0224"/>
    <x v="1"/>
    <n v="614000"/>
    <n v="585000"/>
    <n v="-29000"/>
    <n v="19000"/>
    <n v="20000"/>
    <n v="1000"/>
    <n v="633000"/>
    <n v="605000"/>
    <n v="-28000"/>
  </r>
  <r>
    <s v="EMP0225"/>
    <x v="1"/>
    <n v="587000"/>
    <n v="559000"/>
    <n v="-28000"/>
    <n v="14000"/>
    <n v="15000"/>
    <n v="1000"/>
    <n v="601000"/>
    <n v="574000"/>
    <n v="-27000"/>
  </r>
  <r>
    <s v="EMP0226"/>
    <x v="1"/>
    <n v="671000"/>
    <n v="639000"/>
    <n v="-32000"/>
    <n v="19000"/>
    <n v="20000"/>
    <n v="1000"/>
    <n v="690000"/>
    <n v="659000"/>
    <n v="-31000"/>
  </r>
  <r>
    <s v="EMP0227"/>
    <x v="1"/>
    <n v="956000"/>
    <n v="910000"/>
    <n v="-46000"/>
    <n v="17000"/>
    <n v="18000"/>
    <n v="1000"/>
    <n v="973000"/>
    <n v="928000"/>
    <n v="-45000"/>
  </r>
  <r>
    <s v="EMP0228"/>
    <x v="1"/>
    <n v="672000"/>
    <n v="640000"/>
    <n v="-32000"/>
    <n v="17000"/>
    <n v="18000"/>
    <n v="1000"/>
    <n v="689000"/>
    <n v="658000"/>
    <n v="-31000"/>
  </r>
  <r>
    <s v="EMP0229"/>
    <x v="1"/>
    <n v="899000"/>
    <n v="856000"/>
    <n v="-43000"/>
    <n v="24000"/>
    <n v="25000"/>
    <n v="1000"/>
    <n v="923000"/>
    <n v="881000"/>
    <n v="-42000"/>
  </r>
  <r>
    <s v="EMP0230"/>
    <x v="1"/>
    <n v="666000"/>
    <n v="634000"/>
    <n v="-32000"/>
    <n v="33000"/>
    <n v="35000"/>
    <n v="2000"/>
    <n v="699000"/>
    <n v="669000"/>
    <n v="-30000"/>
  </r>
  <r>
    <s v="EMP0231"/>
    <x v="1"/>
    <n v="597000"/>
    <n v="569000"/>
    <n v="-28000"/>
    <n v="14000"/>
    <n v="15000"/>
    <n v="1000"/>
    <n v="611000"/>
    <n v="584000"/>
    <n v="-27000"/>
  </r>
  <r>
    <s v="EMP0232"/>
    <x v="1"/>
    <n v="596000"/>
    <n v="568000"/>
    <n v="-28000"/>
    <n v="24000"/>
    <n v="25000"/>
    <n v="1000"/>
    <n v="620000"/>
    <n v="593000"/>
    <n v="-27000"/>
  </r>
  <r>
    <s v="EMP0233"/>
    <x v="1"/>
    <n v="636000"/>
    <n v="606000"/>
    <n v="-30000"/>
    <n v="19000"/>
    <n v="20000"/>
    <n v="1000"/>
    <n v="655000"/>
    <n v="626000"/>
    <n v="-29000"/>
  </r>
  <r>
    <s v="EMP0234"/>
    <x v="1"/>
    <n v="902000"/>
    <n v="859000"/>
    <n v="-43000"/>
    <n v="27000"/>
    <n v="28000"/>
    <n v="1000"/>
    <n v="929000"/>
    <n v="887000"/>
    <n v="-42000"/>
  </r>
  <r>
    <s v="EMP0235"/>
    <x v="1"/>
    <n v="1050000"/>
    <n v="1000000"/>
    <n v="-50000"/>
    <n v="17000"/>
    <n v="18000"/>
    <n v="1000"/>
    <n v="1067000"/>
    <n v="1018000"/>
    <n v="-49000"/>
  </r>
  <r>
    <s v="EMP0236"/>
    <x v="1"/>
    <n v="700000"/>
    <n v="667000"/>
    <n v="-33000"/>
    <n v="29000"/>
    <n v="30000"/>
    <n v="1000"/>
    <n v="729000"/>
    <n v="697000"/>
    <n v="-32000"/>
  </r>
  <r>
    <s v="EMP0237"/>
    <x v="1"/>
    <n v="701000"/>
    <n v="668000"/>
    <n v="-33000"/>
    <n v="33000"/>
    <n v="35000"/>
    <n v="2000"/>
    <n v="734000"/>
    <n v="703000"/>
    <n v="-31000"/>
  </r>
  <r>
    <s v="EMP0238"/>
    <x v="1"/>
    <n v="1062000"/>
    <n v="1011000"/>
    <n v="-51000"/>
    <n v="21000"/>
    <n v="22000"/>
    <n v="1000"/>
    <n v="1083000"/>
    <n v="1033000"/>
    <n v="-50000"/>
  </r>
  <r>
    <s v="EMP0239"/>
    <x v="1"/>
    <n v="578000"/>
    <n v="550000"/>
    <n v="-28000"/>
    <n v="27000"/>
    <n v="28000"/>
    <n v="1000"/>
    <n v="605000"/>
    <n v="578000"/>
    <n v="-27000"/>
  </r>
  <r>
    <s v="EMP0240"/>
    <x v="1"/>
    <n v="818000"/>
    <n v="779000"/>
    <n v="-39000"/>
    <n v="21000"/>
    <n v="22000"/>
    <n v="1000"/>
    <n v="839000"/>
    <n v="801000"/>
    <n v="-38000"/>
  </r>
  <r>
    <s v="EMP0241"/>
    <x v="1"/>
    <n v="668000"/>
    <n v="636000"/>
    <n v="-32000"/>
    <n v="19000"/>
    <n v="20000"/>
    <n v="1000"/>
    <n v="687000"/>
    <n v="656000"/>
    <n v="-31000"/>
  </r>
  <r>
    <s v="EMP0242"/>
    <x v="1"/>
    <n v="594000"/>
    <n v="566000"/>
    <n v="-28000"/>
    <n v="17000"/>
    <n v="18000"/>
    <n v="1000"/>
    <n v="611000"/>
    <n v="584000"/>
    <n v="-27000"/>
  </r>
  <r>
    <s v="EMP0243"/>
    <x v="1"/>
    <n v="900000"/>
    <n v="857000"/>
    <n v="-43000"/>
    <n v="33000"/>
    <n v="35000"/>
    <n v="2000"/>
    <n v="933000"/>
    <n v="892000"/>
    <n v="-41000"/>
  </r>
  <r>
    <s v="EMP0244"/>
    <x v="1"/>
    <n v="1203000"/>
    <n v="1146000"/>
    <n v="-57000"/>
    <n v="27000"/>
    <n v="28000"/>
    <n v="1000"/>
    <n v="1230000"/>
    <n v="1174000"/>
    <n v="-56000"/>
  </r>
  <r>
    <s v="EMP0245"/>
    <x v="1"/>
    <n v="637000"/>
    <n v="607000"/>
    <n v="-30000"/>
    <n v="33000"/>
    <n v="35000"/>
    <n v="2000"/>
    <n v="670000"/>
    <n v="642000"/>
    <n v="-28000"/>
  </r>
  <r>
    <s v="EMP0246"/>
    <x v="1"/>
    <n v="920000"/>
    <n v="876000"/>
    <n v="-44000"/>
    <n v="17000"/>
    <n v="18000"/>
    <n v="1000"/>
    <n v="937000"/>
    <n v="894000"/>
    <n v="-43000"/>
  </r>
  <r>
    <s v="EMP0247"/>
    <x v="1"/>
    <n v="623000"/>
    <n v="593000"/>
    <n v="-30000"/>
    <n v="17000"/>
    <n v="18000"/>
    <n v="1000"/>
    <n v="640000"/>
    <n v="611000"/>
    <n v="-29000"/>
  </r>
  <r>
    <s v="EMP0248"/>
    <x v="1"/>
    <n v="1208000"/>
    <n v="1150000"/>
    <n v="-58000"/>
    <n v="29000"/>
    <n v="30000"/>
    <n v="1000"/>
    <n v="1237000"/>
    <n v="1180000"/>
    <n v="-57000"/>
  </r>
  <r>
    <s v="EMP0249"/>
    <x v="1"/>
    <n v="733000"/>
    <n v="698000"/>
    <n v="-35000"/>
    <n v="33000"/>
    <n v="35000"/>
    <n v="2000"/>
    <n v="766000"/>
    <n v="733000"/>
    <n v="-33000"/>
  </r>
  <r>
    <s v="EMP0250"/>
    <x v="1"/>
    <n v="643000"/>
    <n v="612000"/>
    <n v="-31000"/>
    <n v="19000"/>
    <n v="20000"/>
    <n v="1000"/>
    <n v="662000"/>
    <n v="632000"/>
    <n v="-30000"/>
  </r>
  <r>
    <s v="EMP0251"/>
    <x v="2"/>
    <n v="1075000"/>
    <n v="1024000"/>
    <n v="-51000"/>
    <n v="17000"/>
    <n v="18000"/>
    <n v="1000"/>
    <n v="1092000"/>
    <n v="1042000"/>
    <n v="-50000"/>
  </r>
  <r>
    <s v="EMP0252"/>
    <x v="2"/>
    <n v="651000"/>
    <n v="620000"/>
    <n v="-31000"/>
    <n v="33000"/>
    <n v="35000"/>
    <n v="2000"/>
    <n v="684000"/>
    <n v="655000"/>
    <n v="-29000"/>
  </r>
  <r>
    <s v="EMP0253"/>
    <x v="2"/>
    <n v="617000"/>
    <n v="588000"/>
    <n v="-29000"/>
    <n v="29000"/>
    <n v="30000"/>
    <n v="1000"/>
    <n v="646000"/>
    <n v="618000"/>
    <n v="-28000"/>
  </r>
  <r>
    <s v="EMP0254"/>
    <x v="2"/>
    <n v="1029000"/>
    <n v="980000"/>
    <n v="-49000"/>
    <n v="27000"/>
    <n v="28000"/>
    <n v="1000"/>
    <n v="1056000"/>
    <n v="1008000"/>
    <n v="-48000"/>
  </r>
  <r>
    <s v="EMP0255"/>
    <x v="2"/>
    <n v="716000"/>
    <n v="682000"/>
    <n v="-34000"/>
    <n v="19000"/>
    <n v="20000"/>
    <n v="1000"/>
    <n v="735000"/>
    <n v="702000"/>
    <n v="-33000"/>
  </r>
  <r>
    <s v="EMP0256"/>
    <x v="2"/>
    <n v="587000"/>
    <n v="559000"/>
    <n v="-28000"/>
    <n v="29000"/>
    <n v="30000"/>
    <n v="1000"/>
    <n v="616000"/>
    <n v="589000"/>
    <n v="-27000"/>
  </r>
  <r>
    <s v="EMP0257"/>
    <x v="2"/>
    <n v="579000"/>
    <n v="551000"/>
    <n v="-28000"/>
    <n v="27000"/>
    <n v="28000"/>
    <n v="1000"/>
    <n v="606000"/>
    <n v="579000"/>
    <n v="-27000"/>
  </r>
  <r>
    <s v="EMP0258"/>
    <x v="2"/>
    <n v="681000"/>
    <n v="649000"/>
    <n v="-32000"/>
    <n v="17000"/>
    <n v="18000"/>
    <n v="1000"/>
    <n v="698000"/>
    <n v="667000"/>
    <n v="-31000"/>
  </r>
  <r>
    <s v="EMP0259"/>
    <x v="2"/>
    <n v="978000"/>
    <n v="931000"/>
    <n v="-47000"/>
    <n v="19000"/>
    <n v="20000"/>
    <n v="1000"/>
    <n v="997000"/>
    <n v="951000"/>
    <n v="-46000"/>
  </r>
  <r>
    <s v="EMP0260"/>
    <x v="2"/>
    <n v="1066000"/>
    <n v="1015000"/>
    <n v="-51000"/>
    <n v="19000"/>
    <n v="20000"/>
    <n v="1000"/>
    <n v="1085000"/>
    <n v="1035000"/>
    <n v="-50000"/>
  </r>
  <r>
    <s v="EMP0261"/>
    <x v="2"/>
    <n v="733000"/>
    <n v="698000"/>
    <n v="-35000"/>
    <n v="14000"/>
    <n v="15000"/>
    <n v="1000"/>
    <n v="747000"/>
    <n v="713000"/>
    <n v="-34000"/>
  </r>
  <r>
    <s v="EMP0262"/>
    <x v="2"/>
    <n v="848000"/>
    <n v="808000"/>
    <n v="-40000"/>
    <n v="19000"/>
    <n v="20000"/>
    <n v="1000"/>
    <n v="867000"/>
    <n v="828000"/>
    <n v="-39000"/>
  </r>
  <r>
    <s v="EMP0263"/>
    <x v="2"/>
    <n v="954000"/>
    <n v="909000"/>
    <n v="-45000"/>
    <n v="19000"/>
    <n v="20000"/>
    <n v="1000"/>
    <n v="973000"/>
    <n v="929000"/>
    <n v="-44000"/>
  </r>
  <r>
    <s v="EMP0264"/>
    <x v="2"/>
    <n v="669000"/>
    <n v="637000"/>
    <n v="-32000"/>
    <n v="33000"/>
    <n v="35000"/>
    <n v="2000"/>
    <n v="702000"/>
    <n v="672000"/>
    <n v="-30000"/>
  </r>
  <r>
    <s v="EMP0265"/>
    <x v="2"/>
    <n v="958000"/>
    <n v="912000"/>
    <n v="-46000"/>
    <n v="21000"/>
    <n v="22000"/>
    <n v="1000"/>
    <n v="979000"/>
    <n v="934000"/>
    <n v="-45000"/>
  </r>
  <r>
    <s v="EMP0266"/>
    <x v="2"/>
    <n v="896000"/>
    <n v="853000"/>
    <n v="-43000"/>
    <n v="27000"/>
    <n v="28000"/>
    <n v="1000"/>
    <n v="923000"/>
    <n v="881000"/>
    <n v="-42000"/>
  </r>
  <r>
    <s v="EMP0267"/>
    <x v="2"/>
    <n v="628000"/>
    <n v="598000"/>
    <n v="-30000"/>
    <n v="29000"/>
    <n v="30000"/>
    <n v="1000"/>
    <n v="657000"/>
    <n v="628000"/>
    <n v="-29000"/>
  </r>
  <r>
    <s v="EMP0268"/>
    <x v="2"/>
    <n v="933000"/>
    <n v="889000"/>
    <n v="-44000"/>
    <n v="19000"/>
    <n v="20000"/>
    <n v="1000"/>
    <n v="952000"/>
    <n v="909000"/>
    <n v="-43000"/>
  </r>
  <r>
    <s v="EMP0269"/>
    <x v="2"/>
    <n v="687000"/>
    <n v="654000"/>
    <n v="-33000"/>
    <n v="17000"/>
    <n v="18000"/>
    <n v="1000"/>
    <n v="704000"/>
    <n v="672000"/>
    <n v="-32000"/>
  </r>
  <r>
    <s v="EMP0270"/>
    <x v="2"/>
    <n v="584000"/>
    <n v="556000"/>
    <n v="-28000"/>
    <n v="19000"/>
    <n v="20000"/>
    <n v="1000"/>
    <n v="603000"/>
    <n v="576000"/>
    <n v="-27000"/>
  </r>
  <r>
    <s v="EMP0271"/>
    <x v="2"/>
    <n v="763000"/>
    <n v="727000"/>
    <n v="-36000"/>
    <n v="21000"/>
    <n v="22000"/>
    <n v="1000"/>
    <n v="784000"/>
    <n v="749000"/>
    <n v="-35000"/>
  </r>
  <r>
    <s v="EMP0272"/>
    <x v="2"/>
    <n v="905000"/>
    <n v="862000"/>
    <n v="-43000"/>
    <n v="29000"/>
    <n v="30000"/>
    <n v="1000"/>
    <n v="934000"/>
    <n v="892000"/>
    <n v="-42000"/>
  </r>
  <r>
    <s v="EMP0273"/>
    <x v="2"/>
    <n v="763000"/>
    <n v="727000"/>
    <n v="-36000"/>
    <n v="14000"/>
    <n v="15000"/>
    <n v="1000"/>
    <n v="777000"/>
    <n v="742000"/>
    <n v="-35000"/>
  </r>
  <r>
    <s v="EMP0274"/>
    <x v="2"/>
    <n v="721000"/>
    <n v="687000"/>
    <n v="-34000"/>
    <n v="19000"/>
    <n v="20000"/>
    <n v="1000"/>
    <n v="740000"/>
    <n v="707000"/>
    <n v="-33000"/>
  </r>
  <r>
    <s v="EMP0275"/>
    <x v="2"/>
    <n v="739000"/>
    <n v="704000"/>
    <n v="-35000"/>
    <n v="19000"/>
    <n v="20000"/>
    <n v="1000"/>
    <n v="758000"/>
    <n v="724000"/>
    <n v="-34000"/>
  </r>
  <r>
    <s v="EMP0276"/>
    <x v="2"/>
    <n v="652000"/>
    <n v="621000"/>
    <n v="-31000"/>
    <n v="14000"/>
    <n v="15000"/>
    <n v="1000"/>
    <n v="666000"/>
    <n v="636000"/>
    <n v="-30000"/>
  </r>
  <r>
    <s v="EMP0277"/>
    <x v="2"/>
    <n v="911000"/>
    <n v="868000"/>
    <n v="-43000"/>
    <n v="29000"/>
    <n v="30000"/>
    <n v="1000"/>
    <n v="940000"/>
    <n v="898000"/>
    <n v="-42000"/>
  </r>
  <r>
    <s v="EMP0278"/>
    <x v="2"/>
    <n v="659000"/>
    <n v="628000"/>
    <n v="-31000"/>
    <n v="29000"/>
    <n v="30000"/>
    <n v="1000"/>
    <n v="688000"/>
    <n v="658000"/>
    <n v="-30000"/>
  </r>
  <r>
    <s v="EMP0279"/>
    <x v="2"/>
    <n v="575000"/>
    <n v="548000"/>
    <n v="-27000"/>
    <n v="33000"/>
    <n v="35000"/>
    <n v="2000"/>
    <n v="608000"/>
    <n v="583000"/>
    <n v="-25000"/>
  </r>
  <r>
    <s v="EMP0280"/>
    <x v="2"/>
    <n v="692000"/>
    <n v="659000"/>
    <n v="-33000"/>
    <n v="19000"/>
    <n v="20000"/>
    <n v="1000"/>
    <n v="711000"/>
    <n v="679000"/>
    <n v="-32000"/>
  </r>
  <r>
    <s v="EMP0281"/>
    <x v="2"/>
    <n v="667000"/>
    <n v="635000"/>
    <n v="-32000"/>
    <n v="19000"/>
    <n v="20000"/>
    <n v="1000"/>
    <n v="686000"/>
    <n v="655000"/>
    <n v="-31000"/>
  </r>
  <r>
    <s v="EMP0282"/>
    <x v="2"/>
    <n v="760000"/>
    <n v="724000"/>
    <n v="-36000"/>
    <n v="14000"/>
    <n v="15000"/>
    <n v="1000"/>
    <n v="774000"/>
    <n v="739000"/>
    <n v="-35000"/>
  </r>
  <r>
    <s v="EMP0283"/>
    <x v="2"/>
    <n v="655000"/>
    <n v="624000"/>
    <n v="-31000"/>
    <n v="24000"/>
    <n v="25000"/>
    <n v="1000"/>
    <n v="679000"/>
    <n v="649000"/>
    <n v="-30000"/>
  </r>
  <r>
    <s v="EMP0284"/>
    <x v="2"/>
    <n v="912000"/>
    <n v="869000"/>
    <n v="-43000"/>
    <n v="17000"/>
    <n v="18000"/>
    <n v="1000"/>
    <n v="929000"/>
    <n v="887000"/>
    <n v="-42000"/>
  </r>
  <r>
    <s v="EMP0285"/>
    <x v="2"/>
    <n v="868000"/>
    <n v="827000"/>
    <n v="-41000"/>
    <n v="27000"/>
    <n v="28000"/>
    <n v="1000"/>
    <n v="895000"/>
    <n v="855000"/>
    <n v="-40000"/>
  </r>
  <r>
    <s v="EMP0286"/>
    <x v="2"/>
    <n v="731000"/>
    <n v="696000"/>
    <n v="-35000"/>
    <n v="33000"/>
    <n v="35000"/>
    <n v="2000"/>
    <n v="764000"/>
    <n v="731000"/>
    <n v="-33000"/>
  </r>
  <r>
    <s v="EMP0287"/>
    <x v="2"/>
    <n v="816000"/>
    <n v="777000"/>
    <n v="-39000"/>
    <n v="33000"/>
    <n v="35000"/>
    <n v="2000"/>
    <n v="849000"/>
    <n v="812000"/>
    <n v="-37000"/>
  </r>
  <r>
    <s v="EMP0288"/>
    <x v="2"/>
    <n v="733000"/>
    <n v="698000"/>
    <n v="-35000"/>
    <n v="27000"/>
    <n v="28000"/>
    <n v="1000"/>
    <n v="760000"/>
    <n v="726000"/>
    <n v="-34000"/>
  </r>
  <r>
    <s v="EMP0289"/>
    <x v="2"/>
    <n v="705000"/>
    <n v="671000"/>
    <n v="-34000"/>
    <n v="24000"/>
    <n v="25000"/>
    <n v="1000"/>
    <n v="729000"/>
    <n v="696000"/>
    <n v="-33000"/>
  </r>
  <r>
    <s v="EMP0290"/>
    <x v="2"/>
    <n v="607000"/>
    <n v="578000"/>
    <n v="-29000"/>
    <n v="14000"/>
    <n v="15000"/>
    <n v="1000"/>
    <n v="621000"/>
    <n v="593000"/>
    <n v="-28000"/>
  </r>
  <r>
    <s v="EMP0291"/>
    <x v="2"/>
    <n v="925000"/>
    <n v="881000"/>
    <n v="-44000"/>
    <n v="29000"/>
    <n v="30000"/>
    <n v="1000"/>
    <n v="954000"/>
    <n v="911000"/>
    <n v="-43000"/>
  </r>
  <r>
    <s v="EMP0292"/>
    <x v="2"/>
    <n v="806000"/>
    <n v="768000"/>
    <n v="-38000"/>
    <n v="33000"/>
    <n v="35000"/>
    <n v="2000"/>
    <n v="839000"/>
    <n v="803000"/>
    <n v="-36000"/>
  </r>
  <r>
    <s v="EMP0293"/>
    <x v="2"/>
    <n v="1073000"/>
    <n v="1022000"/>
    <n v="-51000"/>
    <n v="17000"/>
    <n v="18000"/>
    <n v="1000"/>
    <n v="1090000"/>
    <n v="1040000"/>
    <n v="-50000"/>
  </r>
  <r>
    <s v="EMP0294"/>
    <x v="2"/>
    <n v="705000"/>
    <n v="671000"/>
    <n v="-34000"/>
    <n v="24000"/>
    <n v="25000"/>
    <n v="1000"/>
    <n v="729000"/>
    <n v="696000"/>
    <n v="-33000"/>
  </r>
  <r>
    <s v="EMP0295"/>
    <x v="2"/>
    <n v="714000"/>
    <n v="680000"/>
    <n v="-34000"/>
    <n v="29000"/>
    <n v="30000"/>
    <n v="1000"/>
    <n v="743000"/>
    <n v="710000"/>
    <n v="-33000"/>
  </r>
  <r>
    <s v="EMP0296"/>
    <x v="2"/>
    <n v="995000"/>
    <n v="948000"/>
    <n v="-47000"/>
    <n v="27000"/>
    <n v="28000"/>
    <n v="1000"/>
    <n v="1022000"/>
    <n v="976000"/>
    <n v="-46000"/>
  </r>
  <r>
    <s v="EMP0297"/>
    <x v="2"/>
    <n v="1038000"/>
    <n v="989000"/>
    <n v="-49000"/>
    <n v="14000"/>
    <n v="15000"/>
    <n v="1000"/>
    <n v="1052000"/>
    <n v="1004000"/>
    <n v="-48000"/>
  </r>
  <r>
    <s v="EMP0298"/>
    <x v="2"/>
    <n v="617000"/>
    <n v="588000"/>
    <n v="-29000"/>
    <n v="19000"/>
    <n v="20000"/>
    <n v="1000"/>
    <n v="636000"/>
    <n v="608000"/>
    <n v="-28000"/>
  </r>
  <r>
    <s v="EMP0299"/>
    <x v="2"/>
    <n v="706000"/>
    <n v="672000"/>
    <n v="-34000"/>
    <n v="14000"/>
    <n v="15000"/>
    <n v="1000"/>
    <n v="720000"/>
    <n v="687000"/>
    <n v="-33000"/>
  </r>
  <r>
    <s v="EMP0300"/>
    <x v="2"/>
    <n v="711000"/>
    <n v="677000"/>
    <n v="-34000"/>
    <n v="14000"/>
    <n v="15000"/>
    <n v="1000"/>
    <n v="725000"/>
    <n v="692000"/>
    <n v="-33000"/>
  </r>
  <r>
    <s v="EMP0301"/>
    <x v="2"/>
    <n v="698000"/>
    <n v="665000"/>
    <n v="-33000"/>
    <n v="17000"/>
    <n v="18000"/>
    <n v="1000"/>
    <n v="715000"/>
    <n v="683000"/>
    <n v="-32000"/>
  </r>
  <r>
    <s v="EMP0302"/>
    <x v="2"/>
    <n v="623000"/>
    <n v="593000"/>
    <n v="-30000"/>
    <n v="21000"/>
    <n v="22000"/>
    <n v="1000"/>
    <n v="644000"/>
    <n v="615000"/>
    <n v="-29000"/>
  </r>
  <r>
    <s v="EMP0303"/>
    <x v="2"/>
    <n v="643000"/>
    <n v="612000"/>
    <n v="-31000"/>
    <n v="17000"/>
    <n v="18000"/>
    <n v="1000"/>
    <n v="660000"/>
    <n v="630000"/>
    <n v="-30000"/>
  </r>
  <r>
    <s v="EMP0304"/>
    <x v="2"/>
    <n v="681000"/>
    <n v="649000"/>
    <n v="-32000"/>
    <n v="24000"/>
    <n v="25000"/>
    <n v="1000"/>
    <n v="705000"/>
    <n v="674000"/>
    <n v="-31000"/>
  </r>
  <r>
    <s v="EMP0305"/>
    <x v="2"/>
    <n v="1239000"/>
    <n v="1180000"/>
    <n v="-59000"/>
    <n v="17000"/>
    <n v="18000"/>
    <n v="1000"/>
    <n v="1256000"/>
    <n v="1198000"/>
    <n v="-58000"/>
  </r>
  <r>
    <s v="EMP0306"/>
    <x v="2"/>
    <n v="817000"/>
    <n v="778000"/>
    <n v="-39000"/>
    <n v="27000"/>
    <n v="28000"/>
    <n v="1000"/>
    <n v="844000"/>
    <n v="806000"/>
    <n v="-38000"/>
  </r>
  <r>
    <s v="EMP0307"/>
    <x v="2"/>
    <n v="644000"/>
    <n v="613000"/>
    <n v="-31000"/>
    <n v="24000"/>
    <n v="25000"/>
    <n v="1000"/>
    <n v="668000"/>
    <n v="638000"/>
    <n v="-30000"/>
  </r>
  <r>
    <s v="EMP0308"/>
    <x v="2"/>
    <n v="695000"/>
    <n v="662000"/>
    <n v="-33000"/>
    <n v="27000"/>
    <n v="28000"/>
    <n v="1000"/>
    <n v="722000"/>
    <n v="690000"/>
    <n v="-32000"/>
  </r>
  <r>
    <s v="EMP0309"/>
    <x v="2"/>
    <n v="645000"/>
    <n v="614000"/>
    <n v="-31000"/>
    <n v="33000"/>
    <n v="35000"/>
    <n v="2000"/>
    <n v="678000"/>
    <n v="649000"/>
    <n v="-29000"/>
  </r>
  <r>
    <s v="EMP0310"/>
    <x v="2"/>
    <n v="618000"/>
    <n v="589000"/>
    <n v="-29000"/>
    <n v="19000"/>
    <n v="20000"/>
    <n v="1000"/>
    <n v="637000"/>
    <n v="609000"/>
    <n v="-28000"/>
  </r>
  <r>
    <s v="EMP0311"/>
    <x v="2"/>
    <n v="660000"/>
    <n v="629000"/>
    <n v="-31000"/>
    <n v="33000"/>
    <n v="35000"/>
    <n v="2000"/>
    <n v="693000"/>
    <n v="664000"/>
    <n v="-29000"/>
  </r>
  <r>
    <s v="EMP0312"/>
    <x v="2"/>
    <n v="965000"/>
    <n v="919000"/>
    <n v="-46000"/>
    <n v="27000"/>
    <n v="28000"/>
    <n v="1000"/>
    <n v="992000"/>
    <n v="947000"/>
    <n v="-45000"/>
  </r>
  <r>
    <s v="EMP0313"/>
    <x v="2"/>
    <n v="1047000"/>
    <n v="997000"/>
    <n v="-50000"/>
    <n v="19000"/>
    <n v="20000"/>
    <n v="1000"/>
    <n v="1066000"/>
    <n v="1017000"/>
    <n v="-49000"/>
  </r>
  <r>
    <s v="EMP0314"/>
    <x v="2"/>
    <n v="690000"/>
    <n v="657000"/>
    <n v="-33000"/>
    <n v="17000"/>
    <n v="18000"/>
    <n v="1000"/>
    <n v="707000"/>
    <n v="675000"/>
    <n v="-32000"/>
  </r>
  <r>
    <s v="EMP0315"/>
    <x v="2"/>
    <n v="638000"/>
    <n v="608000"/>
    <n v="-30000"/>
    <n v="21000"/>
    <n v="22000"/>
    <n v="1000"/>
    <n v="659000"/>
    <n v="630000"/>
    <n v="-29000"/>
  </r>
  <r>
    <s v="EMP0316"/>
    <x v="2"/>
    <n v="899000"/>
    <n v="856000"/>
    <n v="-43000"/>
    <n v="24000"/>
    <n v="25000"/>
    <n v="1000"/>
    <n v="923000"/>
    <n v="881000"/>
    <n v="-42000"/>
  </r>
  <r>
    <s v="EMP0317"/>
    <x v="2"/>
    <n v="1260000"/>
    <n v="1200000"/>
    <n v="-60000"/>
    <n v="17000"/>
    <n v="18000"/>
    <n v="1000"/>
    <n v="1277000"/>
    <n v="1218000"/>
    <n v="-59000"/>
  </r>
  <r>
    <s v="EMP0318"/>
    <x v="2"/>
    <n v="756000"/>
    <n v="720000"/>
    <n v="-36000"/>
    <n v="27000"/>
    <n v="28000"/>
    <n v="1000"/>
    <n v="783000"/>
    <n v="748000"/>
    <n v="-35000"/>
  </r>
  <r>
    <s v="EMP0319"/>
    <x v="2"/>
    <n v="681000"/>
    <n v="649000"/>
    <n v="-32000"/>
    <n v="14000"/>
    <n v="15000"/>
    <n v="1000"/>
    <n v="695000"/>
    <n v="664000"/>
    <n v="-31000"/>
  </r>
  <r>
    <s v="EMP0320"/>
    <x v="2"/>
    <n v="855000"/>
    <n v="814000"/>
    <n v="-41000"/>
    <n v="29000"/>
    <n v="30000"/>
    <n v="1000"/>
    <n v="884000"/>
    <n v="844000"/>
    <n v="-40000"/>
  </r>
  <r>
    <s v="EMP0321"/>
    <x v="2"/>
    <n v="748000"/>
    <n v="712000"/>
    <n v="-36000"/>
    <n v="24000"/>
    <n v="25000"/>
    <n v="1000"/>
    <n v="772000"/>
    <n v="737000"/>
    <n v="-35000"/>
  </r>
  <r>
    <s v="EMP0322"/>
    <x v="2"/>
    <n v="938000"/>
    <n v="893000"/>
    <n v="-45000"/>
    <n v="17000"/>
    <n v="18000"/>
    <n v="1000"/>
    <n v="955000"/>
    <n v="911000"/>
    <n v="-44000"/>
  </r>
  <r>
    <s v="EMP0323"/>
    <x v="2"/>
    <n v="676000"/>
    <n v="644000"/>
    <n v="-32000"/>
    <n v="27000"/>
    <n v="28000"/>
    <n v="1000"/>
    <n v="703000"/>
    <n v="672000"/>
    <n v="-31000"/>
  </r>
  <r>
    <s v="EMP0324"/>
    <x v="2"/>
    <n v="722000"/>
    <n v="688000"/>
    <n v="-34000"/>
    <n v="27000"/>
    <n v="28000"/>
    <n v="1000"/>
    <n v="749000"/>
    <n v="716000"/>
    <n v="-33000"/>
  </r>
  <r>
    <s v="EMP0325"/>
    <x v="2"/>
    <n v="670000"/>
    <n v="638000"/>
    <n v="-32000"/>
    <n v="27000"/>
    <n v="28000"/>
    <n v="1000"/>
    <n v="697000"/>
    <n v="666000"/>
    <n v="-31000"/>
  </r>
  <r>
    <s v="EMP0326"/>
    <x v="3"/>
    <n v="576000"/>
    <n v="549000"/>
    <n v="-27000"/>
    <n v="14000"/>
    <n v="15000"/>
    <n v="1000"/>
    <n v="590000"/>
    <n v="564000"/>
    <n v="-26000"/>
  </r>
  <r>
    <s v="EMP0327"/>
    <x v="3"/>
    <n v="707000"/>
    <n v="673000"/>
    <n v="-34000"/>
    <n v="19000"/>
    <n v="20000"/>
    <n v="1000"/>
    <n v="726000"/>
    <n v="693000"/>
    <n v="-33000"/>
  </r>
  <r>
    <s v="EMP0328"/>
    <x v="3"/>
    <n v="1056000"/>
    <n v="1006000"/>
    <n v="-50000"/>
    <n v="19000"/>
    <n v="20000"/>
    <n v="1000"/>
    <n v="1075000"/>
    <n v="1026000"/>
    <n v="-49000"/>
  </r>
  <r>
    <s v="EMP0329"/>
    <x v="3"/>
    <n v="689000"/>
    <n v="656000"/>
    <n v="-33000"/>
    <n v="14000"/>
    <n v="15000"/>
    <n v="1000"/>
    <n v="703000"/>
    <n v="671000"/>
    <n v="-32000"/>
  </r>
  <r>
    <s v="EMP0330"/>
    <x v="3"/>
    <n v="683000"/>
    <n v="650000"/>
    <n v="-33000"/>
    <n v="27000"/>
    <n v="28000"/>
    <n v="1000"/>
    <n v="710000"/>
    <n v="678000"/>
    <n v="-32000"/>
  </r>
  <r>
    <s v="EMP0331"/>
    <x v="3"/>
    <n v="595000"/>
    <n v="567000"/>
    <n v="-28000"/>
    <n v="33000"/>
    <n v="35000"/>
    <n v="2000"/>
    <n v="628000"/>
    <n v="602000"/>
    <n v="-26000"/>
  </r>
  <r>
    <s v="EMP0332"/>
    <x v="3"/>
    <n v="533000"/>
    <n v="508000"/>
    <n v="-25000"/>
    <n v="24000"/>
    <n v="25000"/>
    <n v="1000"/>
    <n v="557000"/>
    <n v="533000"/>
    <n v="-24000"/>
  </r>
  <r>
    <s v="EMP0333"/>
    <x v="3"/>
    <n v="617000"/>
    <n v="588000"/>
    <n v="-29000"/>
    <n v="21000"/>
    <n v="22000"/>
    <n v="1000"/>
    <n v="638000"/>
    <n v="610000"/>
    <n v="-28000"/>
  </r>
  <r>
    <s v="EMP0334"/>
    <x v="3"/>
    <n v="569000"/>
    <n v="542000"/>
    <n v="-27000"/>
    <n v="24000"/>
    <n v="25000"/>
    <n v="1000"/>
    <n v="593000"/>
    <n v="567000"/>
    <n v="-26000"/>
  </r>
  <r>
    <s v="EMP0335"/>
    <x v="3"/>
    <n v="652000"/>
    <n v="621000"/>
    <n v="-31000"/>
    <n v="17000"/>
    <n v="18000"/>
    <n v="1000"/>
    <n v="669000"/>
    <n v="639000"/>
    <n v="-30000"/>
  </r>
  <r>
    <s v="EMP0336"/>
    <x v="3"/>
    <n v="798000"/>
    <n v="760000"/>
    <n v="-38000"/>
    <n v="19000"/>
    <n v="20000"/>
    <n v="1000"/>
    <n v="817000"/>
    <n v="780000"/>
    <n v="-37000"/>
  </r>
  <r>
    <s v="EMP0337"/>
    <x v="3"/>
    <n v="690000"/>
    <n v="657000"/>
    <n v="-33000"/>
    <n v="19000"/>
    <n v="20000"/>
    <n v="1000"/>
    <n v="709000"/>
    <n v="677000"/>
    <n v="-32000"/>
  </r>
  <r>
    <s v="EMP0338"/>
    <x v="3"/>
    <n v="831000"/>
    <n v="791000"/>
    <n v="-40000"/>
    <n v="19000"/>
    <n v="20000"/>
    <n v="1000"/>
    <n v="850000"/>
    <n v="811000"/>
    <n v="-39000"/>
  </r>
  <r>
    <s v="EMP0339"/>
    <x v="3"/>
    <n v="589000"/>
    <n v="561000"/>
    <n v="-28000"/>
    <n v="24000"/>
    <n v="25000"/>
    <n v="1000"/>
    <n v="613000"/>
    <n v="586000"/>
    <n v="-27000"/>
  </r>
  <r>
    <s v="EMP0340"/>
    <x v="3"/>
    <n v="691000"/>
    <n v="658000"/>
    <n v="-33000"/>
    <n v="24000"/>
    <n v="25000"/>
    <n v="1000"/>
    <n v="715000"/>
    <n v="683000"/>
    <n v="-32000"/>
  </r>
  <r>
    <s v="EMP0341"/>
    <x v="3"/>
    <n v="562000"/>
    <n v="535000"/>
    <n v="-27000"/>
    <n v="29000"/>
    <n v="30000"/>
    <n v="1000"/>
    <n v="591000"/>
    <n v="565000"/>
    <n v="-26000"/>
  </r>
  <r>
    <s v="EMP0342"/>
    <x v="3"/>
    <n v="867000"/>
    <n v="826000"/>
    <n v="-41000"/>
    <n v="14000"/>
    <n v="15000"/>
    <n v="1000"/>
    <n v="881000"/>
    <n v="841000"/>
    <n v="-40000"/>
  </r>
  <r>
    <s v="EMP0343"/>
    <x v="3"/>
    <n v="603000"/>
    <n v="574000"/>
    <n v="-29000"/>
    <n v="21000"/>
    <n v="22000"/>
    <n v="1000"/>
    <n v="624000"/>
    <n v="596000"/>
    <n v="-28000"/>
  </r>
  <r>
    <s v="EMP0344"/>
    <x v="3"/>
    <n v="639000"/>
    <n v="609000"/>
    <n v="-30000"/>
    <n v="29000"/>
    <n v="30000"/>
    <n v="1000"/>
    <n v="668000"/>
    <n v="639000"/>
    <n v="-29000"/>
  </r>
  <r>
    <s v="EMP0345"/>
    <x v="3"/>
    <n v="571000"/>
    <n v="544000"/>
    <n v="-27000"/>
    <n v="17000"/>
    <n v="18000"/>
    <n v="1000"/>
    <n v="588000"/>
    <n v="562000"/>
    <n v="-26000"/>
  </r>
  <r>
    <s v="EMP0346"/>
    <x v="3"/>
    <n v="677000"/>
    <n v="645000"/>
    <n v="-32000"/>
    <n v="21000"/>
    <n v="22000"/>
    <n v="1000"/>
    <n v="698000"/>
    <n v="667000"/>
    <n v="-31000"/>
  </r>
  <r>
    <s v="EMP0347"/>
    <x v="3"/>
    <n v="695000"/>
    <n v="662000"/>
    <n v="-33000"/>
    <n v="14000"/>
    <n v="15000"/>
    <n v="1000"/>
    <n v="709000"/>
    <n v="677000"/>
    <n v="-32000"/>
  </r>
  <r>
    <s v="EMP0348"/>
    <x v="3"/>
    <n v="698000"/>
    <n v="665000"/>
    <n v="-33000"/>
    <n v="33000"/>
    <n v="35000"/>
    <n v="2000"/>
    <n v="731000"/>
    <n v="700000"/>
    <n v="-31000"/>
  </r>
  <r>
    <s v="EMP0349"/>
    <x v="3"/>
    <n v="542000"/>
    <n v="516000"/>
    <n v="-26000"/>
    <n v="27000"/>
    <n v="28000"/>
    <n v="1000"/>
    <n v="569000"/>
    <n v="544000"/>
    <n v="-25000"/>
  </r>
  <r>
    <s v="EMP0350"/>
    <x v="3"/>
    <n v="688000"/>
    <n v="655000"/>
    <n v="-33000"/>
    <n v="24000"/>
    <n v="25000"/>
    <n v="1000"/>
    <n v="712000"/>
    <n v="680000"/>
    <n v="-32000"/>
  </r>
  <r>
    <s v="EMP0351"/>
    <x v="3"/>
    <n v="551000"/>
    <n v="525000"/>
    <n v="-26000"/>
    <n v="21000"/>
    <n v="22000"/>
    <n v="1000"/>
    <n v="572000"/>
    <n v="547000"/>
    <n v="-25000"/>
  </r>
  <r>
    <s v="EMP0352"/>
    <x v="3"/>
    <n v="1292000"/>
    <n v="1230000"/>
    <n v="-62000"/>
    <n v="33000"/>
    <n v="35000"/>
    <n v="2000"/>
    <n v="1325000"/>
    <n v="1265000"/>
    <n v="-60000"/>
  </r>
  <r>
    <s v="EMP0353"/>
    <x v="3"/>
    <n v="638000"/>
    <n v="608000"/>
    <n v="-30000"/>
    <n v="24000"/>
    <n v="25000"/>
    <n v="1000"/>
    <n v="662000"/>
    <n v="633000"/>
    <n v="-29000"/>
  </r>
  <r>
    <s v="EMP0354"/>
    <x v="3"/>
    <n v="696000"/>
    <n v="663000"/>
    <n v="-33000"/>
    <n v="29000"/>
    <n v="30000"/>
    <n v="1000"/>
    <n v="725000"/>
    <n v="693000"/>
    <n v="-32000"/>
  </r>
  <r>
    <s v="EMP0355"/>
    <x v="3"/>
    <n v="1074000"/>
    <n v="1023000"/>
    <n v="-51000"/>
    <n v="24000"/>
    <n v="25000"/>
    <n v="1000"/>
    <n v="1098000"/>
    <n v="1048000"/>
    <n v="-50000"/>
  </r>
  <r>
    <s v="EMP0356"/>
    <x v="3"/>
    <n v="637000"/>
    <n v="607000"/>
    <n v="-30000"/>
    <n v="33000"/>
    <n v="35000"/>
    <n v="2000"/>
    <n v="670000"/>
    <n v="642000"/>
    <n v="-28000"/>
  </r>
  <r>
    <s v="EMP0357"/>
    <x v="3"/>
    <n v="786000"/>
    <n v="749000"/>
    <n v="-37000"/>
    <n v="24000"/>
    <n v="25000"/>
    <n v="1000"/>
    <n v="810000"/>
    <n v="774000"/>
    <n v="-36000"/>
  </r>
  <r>
    <s v="EMP0358"/>
    <x v="3"/>
    <n v="648000"/>
    <n v="617000"/>
    <n v="-31000"/>
    <n v="21000"/>
    <n v="22000"/>
    <n v="1000"/>
    <n v="669000"/>
    <n v="639000"/>
    <n v="-30000"/>
  </r>
  <r>
    <s v="EMP0359"/>
    <x v="3"/>
    <n v="572000"/>
    <n v="545000"/>
    <n v="-27000"/>
    <n v="17000"/>
    <n v="18000"/>
    <n v="1000"/>
    <n v="589000"/>
    <n v="563000"/>
    <n v="-26000"/>
  </r>
  <r>
    <s v="EMP0360"/>
    <x v="3"/>
    <n v="643000"/>
    <n v="612000"/>
    <n v="-31000"/>
    <n v="19000"/>
    <n v="20000"/>
    <n v="1000"/>
    <n v="662000"/>
    <n v="632000"/>
    <n v="-30000"/>
  </r>
  <r>
    <s v="EMP0361"/>
    <x v="3"/>
    <n v="1091000"/>
    <n v="1039000"/>
    <n v="-52000"/>
    <n v="21000"/>
    <n v="22000"/>
    <n v="1000"/>
    <n v="1112000"/>
    <n v="1061000"/>
    <n v="-51000"/>
  </r>
  <r>
    <s v="EMP0362"/>
    <x v="3"/>
    <n v="557000"/>
    <n v="530000"/>
    <n v="-27000"/>
    <n v="17000"/>
    <n v="18000"/>
    <n v="1000"/>
    <n v="574000"/>
    <n v="548000"/>
    <n v="-26000"/>
  </r>
  <r>
    <s v="EMP0363"/>
    <x v="3"/>
    <n v="613000"/>
    <n v="584000"/>
    <n v="-29000"/>
    <n v="14000"/>
    <n v="15000"/>
    <n v="1000"/>
    <n v="627000"/>
    <n v="599000"/>
    <n v="-28000"/>
  </r>
  <r>
    <s v="EMP0364"/>
    <x v="3"/>
    <n v="632000"/>
    <n v="602000"/>
    <n v="-30000"/>
    <n v="14000"/>
    <n v="15000"/>
    <n v="1000"/>
    <n v="646000"/>
    <n v="617000"/>
    <n v="-29000"/>
  </r>
  <r>
    <s v="EMP0365"/>
    <x v="3"/>
    <n v="689000"/>
    <n v="656000"/>
    <n v="-33000"/>
    <n v="24000"/>
    <n v="25000"/>
    <n v="1000"/>
    <n v="713000"/>
    <n v="681000"/>
    <n v="-32000"/>
  </r>
  <r>
    <s v="EMP0366"/>
    <x v="3"/>
    <n v="592000"/>
    <n v="564000"/>
    <n v="-28000"/>
    <n v="27000"/>
    <n v="28000"/>
    <n v="1000"/>
    <n v="619000"/>
    <n v="592000"/>
    <n v="-27000"/>
  </r>
  <r>
    <s v="EMP0367"/>
    <x v="3"/>
    <n v="1231000"/>
    <n v="1172000"/>
    <n v="-59000"/>
    <n v="19000"/>
    <n v="20000"/>
    <n v="1000"/>
    <n v="1250000"/>
    <n v="1192000"/>
    <n v="-58000"/>
  </r>
  <r>
    <s v="EMP0368"/>
    <x v="3"/>
    <n v="644000"/>
    <n v="613000"/>
    <n v="-31000"/>
    <n v="19000"/>
    <n v="20000"/>
    <n v="1000"/>
    <n v="663000"/>
    <n v="633000"/>
    <n v="-30000"/>
  </r>
  <r>
    <s v="EMP0369"/>
    <x v="3"/>
    <n v="667000"/>
    <n v="635000"/>
    <n v="-32000"/>
    <n v="27000"/>
    <n v="28000"/>
    <n v="1000"/>
    <n v="694000"/>
    <n v="663000"/>
    <n v="-31000"/>
  </r>
  <r>
    <s v="EMP0370"/>
    <x v="3"/>
    <n v="728000"/>
    <n v="693000"/>
    <n v="-35000"/>
    <n v="29000"/>
    <n v="30000"/>
    <n v="1000"/>
    <n v="757000"/>
    <n v="723000"/>
    <n v="-34000"/>
  </r>
  <r>
    <s v="EMP0371"/>
    <x v="3"/>
    <n v="627000"/>
    <n v="597000"/>
    <n v="-30000"/>
    <n v="19000"/>
    <n v="20000"/>
    <n v="1000"/>
    <n v="646000"/>
    <n v="617000"/>
    <n v="-29000"/>
  </r>
  <r>
    <s v="EMP0372"/>
    <x v="3"/>
    <n v="755000"/>
    <n v="719000"/>
    <n v="-36000"/>
    <n v="29000"/>
    <n v="30000"/>
    <n v="1000"/>
    <n v="784000"/>
    <n v="749000"/>
    <n v="-35000"/>
  </r>
  <r>
    <s v="EMP0373"/>
    <x v="3"/>
    <n v="699000"/>
    <n v="666000"/>
    <n v="-33000"/>
    <n v="14000"/>
    <n v="15000"/>
    <n v="1000"/>
    <n v="713000"/>
    <n v="681000"/>
    <n v="-32000"/>
  </r>
  <r>
    <s v="EMP0374"/>
    <x v="3"/>
    <n v="550000"/>
    <n v="524000"/>
    <n v="-26000"/>
    <n v="33000"/>
    <n v="35000"/>
    <n v="2000"/>
    <n v="583000"/>
    <n v="559000"/>
    <n v="-24000"/>
  </r>
  <r>
    <s v="EMP0375"/>
    <x v="3"/>
    <n v="690000"/>
    <n v="657000"/>
    <n v="-33000"/>
    <n v="24000"/>
    <n v="25000"/>
    <n v="1000"/>
    <n v="714000"/>
    <n v="682000"/>
    <n v="-32000"/>
  </r>
  <r>
    <s v="EMP0376"/>
    <x v="4"/>
    <n v="814000"/>
    <n v="775000"/>
    <n v="-39000"/>
    <n v="21000"/>
    <n v="22000"/>
    <n v="1000"/>
    <n v="835000"/>
    <n v="797000"/>
    <n v="-38000"/>
  </r>
  <r>
    <s v="EMP0377"/>
    <x v="4"/>
    <n v="588000"/>
    <n v="560000"/>
    <n v="-28000"/>
    <n v="27000"/>
    <n v="28000"/>
    <n v="1000"/>
    <n v="615000"/>
    <n v="588000"/>
    <n v="-27000"/>
  </r>
  <r>
    <s v="EMP0378"/>
    <x v="4"/>
    <n v="843000"/>
    <n v="803000"/>
    <n v="-40000"/>
    <n v="21000"/>
    <n v="22000"/>
    <n v="1000"/>
    <n v="864000"/>
    <n v="825000"/>
    <n v="-39000"/>
  </r>
  <r>
    <s v="EMP0379"/>
    <x v="4"/>
    <n v="758000"/>
    <n v="722000"/>
    <n v="-36000"/>
    <n v="33000"/>
    <n v="35000"/>
    <n v="2000"/>
    <n v="791000"/>
    <n v="757000"/>
    <n v="-34000"/>
  </r>
  <r>
    <s v="EMP0380"/>
    <x v="4"/>
    <n v="694000"/>
    <n v="661000"/>
    <n v="-33000"/>
    <n v="21000"/>
    <n v="22000"/>
    <n v="1000"/>
    <n v="715000"/>
    <n v="683000"/>
    <n v="-32000"/>
  </r>
  <r>
    <s v="EMP0381"/>
    <x v="4"/>
    <n v="612000"/>
    <n v="583000"/>
    <n v="-29000"/>
    <n v="17000"/>
    <n v="18000"/>
    <n v="1000"/>
    <n v="629000"/>
    <n v="601000"/>
    <n v="-28000"/>
  </r>
  <r>
    <s v="EMP0382"/>
    <x v="4"/>
    <n v="740000"/>
    <n v="705000"/>
    <n v="-35000"/>
    <n v="33000"/>
    <n v="35000"/>
    <n v="2000"/>
    <n v="773000"/>
    <n v="740000"/>
    <n v="-33000"/>
  </r>
  <r>
    <s v="EMP0383"/>
    <x v="4"/>
    <n v="851000"/>
    <n v="810000"/>
    <n v="-41000"/>
    <n v="14000"/>
    <n v="15000"/>
    <n v="1000"/>
    <n v="865000"/>
    <n v="825000"/>
    <n v="-40000"/>
  </r>
  <r>
    <s v="EMP0384"/>
    <x v="4"/>
    <n v="711000"/>
    <n v="677000"/>
    <n v="-34000"/>
    <n v="24000"/>
    <n v="25000"/>
    <n v="1000"/>
    <n v="735000"/>
    <n v="702000"/>
    <n v="-33000"/>
  </r>
  <r>
    <s v="EMP0385"/>
    <x v="4"/>
    <n v="734000"/>
    <n v="699000"/>
    <n v="-35000"/>
    <n v="27000"/>
    <n v="28000"/>
    <n v="1000"/>
    <n v="761000"/>
    <n v="727000"/>
    <n v="-34000"/>
  </r>
  <r>
    <s v="EMP0386"/>
    <x v="4"/>
    <n v="768000"/>
    <n v="731000"/>
    <n v="-37000"/>
    <n v="33000"/>
    <n v="35000"/>
    <n v="2000"/>
    <n v="801000"/>
    <n v="766000"/>
    <n v="-35000"/>
  </r>
  <r>
    <s v="EMP0387"/>
    <x v="4"/>
    <n v="898000"/>
    <n v="855000"/>
    <n v="-43000"/>
    <n v="29000"/>
    <n v="30000"/>
    <n v="1000"/>
    <n v="927000"/>
    <n v="885000"/>
    <n v="-42000"/>
  </r>
  <r>
    <s v="EMP0388"/>
    <x v="4"/>
    <n v="797000"/>
    <n v="759000"/>
    <n v="-38000"/>
    <n v="29000"/>
    <n v="30000"/>
    <n v="1000"/>
    <n v="826000"/>
    <n v="789000"/>
    <n v="-37000"/>
  </r>
  <r>
    <s v="EMP0389"/>
    <x v="4"/>
    <n v="769000"/>
    <n v="732000"/>
    <n v="-37000"/>
    <n v="27000"/>
    <n v="28000"/>
    <n v="1000"/>
    <n v="796000"/>
    <n v="760000"/>
    <n v="-36000"/>
  </r>
  <r>
    <s v="EMP0390"/>
    <x v="4"/>
    <n v="1295000"/>
    <n v="1233000"/>
    <n v="-62000"/>
    <n v="21000"/>
    <n v="22000"/>
    <n v="1000"/>
    <n v="1316000"/>
    <n v="1255000"/>
    <n v="-61000"/>
  </r>
  <r>
    <s v="EMP0391"/>
    <x v="4"/>
    <n v="796000"/>
    <n v="758000"/>
    <n v="-38000"/>
    <n v="29000"/>
    <n v="30000"/>
    <n v="1000"/>
    <n v="825000"/>
    <n v="788000"/>
    <n v="-37000"/>
  </r>
  <r>
    <s v="EMP0392"/>
    <x v="4"/>
    <n v="681000"/>
    <n v="649000"/>
    <n v="-32000"/>
    <n v="24000"/>
    <n v="25000"/>
    <n v="1000"/>
    <n v="705000"/>
    <n v="674000"/>
    <n v="-31000"/>
  </r>
  <r>
    <s v="EMP0393"/>
    <x v="4"/>
    <n v="853000"/>
    <n v="812000"/>
    <n v="-41000"/>
    <n v="29000"/>
    <n v="30000"/>
    <n v="1000"/>
    <n v="882000"/>
    <n v="842000"/>
    <n v="-40000"/>
  </r>
  <r>
    <s v="EMP0394"/>
    <x v="4"/>
    <n v="875000"/>
    <n v="833000"/>
    <n v="-42000"/>
    <n v="17000"/>
    <n v="18000"/>
    <n v="1000"/>
    <n v="892000"/>
    <n v="851000"/>
    <n v="-41000"/>
  </r>
  <r>
    <s v="EMP0395"/>
    <x v="4"/>
    <n v="650000"/>
    <n v="619000"/>
    <n v="-31000"/>
    <n v="14000"/>
    <n v="15000"/>
    <n v="1000"/>
    <n v="664000"/>
    <n v="634000"/>
    <n v="-30000"/>
  </r>
  <r>
    <s v="EMP0396"/>
    <x v="4"/>
    <n v="628000"/>
    <n v="598000"/>
    <n v="-30000"/>
    <n v="14000"/>
    <n v="15000"/>
    <n v="1000"/>
    <n v="642000"/>
    <n v="613000"/>
    <n v="-29000"/>
  </r>
  <r>
    <s v="EMP0397"/>
    <x v="4"/>
    <n v="1248000"/>
    <n v="1189000"/>
    <n v="-59000"/>
    <n v="27000"/>
    <n v="28000"/>
    <n v="1000"/>
    <n v="1275000"/>
    <n v="1217000"/>
    <n v="-58000"/>
  </r>
  <r>
    <s v="EMP0398"/>
    <x v="4"/>
    <n v="771000"/>
    <n v="734000"/>
    <n v="-37000"/>
    <n v="19000"/>
    <n v="20000"/>
    <n v="1000"/>
    <n v="790000"/>
    <n v="754000"/>
    <n v="-36000"/>
  </r>
  <r>
    <s v="EMP0399"/>
    <x v="4"/>
    <n v="833000"/>
    <n v="793000"/>
    <n v="-40000"/>
    <n v="19000"/>
    <n v="20000"/>
    <n v="1000"/>
    <n v="852000"/>
    <n v="813000"/>
    <n v="-39000"/>
  </r>
  <r>
    <s v="EMP0400"/>
    <x v="4"/>
    <n v="847000"/>
    <n v="807000"/>
    <n v="-40000"/>
    <n v="29000"/>
    <n v="30000"/>
    <n v="1000"/>
    <n v="876000"/>
    <n v="837000"/>
    <n v="-39000"/>
  </r>
  <r>
    <s v="EMP0401"/>
    <x v="4"/>
    <n v="625000"/>
    <n v="595000"/>
    <n v="-30000"/>
    <n v="29000"/>
    <n v="30000"/>
    <n v="1000"/>
    <n v="654000"/>
    <n v="625000"/>
    <n v="-29000"/>
  </r>
  <r>
    <s v="EMP0402"/>
    <x v="4"/>
    <n v="800000"/>
    <n v="762000"/>
    <n v="-38000"/>
    <n v="19000"/>
    <n v="20000"/>
    <n v="1000"/>
    <n v="819000"/>
    <n v="782000"/>
    <n v="-37000"/>
  </r>
  <r>
    <s v="EMP0403"/>
    <x v="4"/>
    <n v="817000"/>
    <n v="778000"/>
    <n v="-39000"/>
    <n v="19000"/>
    <n v="20000"/>
    <n v="1000"/>
    <n v="836000"/>
    <n v="798000"/>
    <n v="-38000"/>
  </r>
  <r>
    <s v="EMP0404"/>
    <x v="4"/>
    <n v="613000"/>
    <n v="584000"/>
    <n v="-29000"/>
    <n v="33000"/>
    <n v="35000"/>
    <n v="2000"/>
    <n v="646000"/>
    <n v="619000"/>
    <n v="-27000"/>
  </r>
  <r>
    <s v="EMP0405"/>
    <x v="4"/>
    <n v="668000"/>
    <n v="636000"/>
    <n v="-32000"/>
    <n v="24000"/>
    <n v="25000"/>
    <n v="1000"/>
    <n v="692000"/>
    <n v="661000"/>
    <n v="-31000"/>
  </r>
  <r>
    <s v="EMP0406"/>
    <x v="4"/>
    <n v="668000"/>
    <n v="636000"/>
    <n v="-32000"/>
    <n v="21000"/>
    <n v="22000"/>
    <n v="1000"/>
    <n v="689000"/>
    <n v="658000"/>
    <n v="-31000"/>
  </r>
  <r>
    <s v="EMP0407"/>
    <x v="4"/>
    <n v="777000"/>
    <n v="740000"/>
    <n v="-37000"/>
    <n v="14000"/>
    <n v="15000"/>
    <n v="1000"/>
    <n v="791000"/>
    <n v="755000"/>
    <n v="-36000"/>
  </r>
  <r>
    <s v="EMP0408"/>
    <x v="4"/>
    <n v="670000"/>
    <n v="638000"/>
    <n v="-32000"/>
    <n v="33000"/>
    <n v="35000"/>
    <n v="2000"/>
    <n v="703000"/>
    <n v="673000"/>
    <n v="-30000"/>
  </r>
  <r>
    <s v="EMP0409"/>
    <x v="4"/>
    <n v="775000"/>
    <n v="738000"/>
    <n v="-37000"/>
    <n v="21000"/>
    <n v="22000"/>
    <n v="1000"/>
    <n v="796000"/>
    <n v="760000"/>
    <n v="-36000"/>
  </r>
  <r>
    <s v="EMP0410"/>
    <x v="4"/>
    <n v="702000"/>
    <n v="669000"/>
    <n v="-33000"/>
    <n v="27000"/>
    <n v="28000"/>
    <n v="1000"/>
    <n v="729000"/>
    <n v="697000"/>
    <n v="-32000"/>
  </r>
  <r>
    <s v="EMP0411"/>
    <x v="4"/>
    <n v="690000"/>
    <n v="657000"/>
    <n v="-33000"/>
    <n v="33000"/>
    <n v="35000"/>
    <n v="2000"/>
    <n v="723000"/>
    <n v="692000"/>
    <n v="-31000"/>
  </r>
  <r>
    <s v="EMP0412"/>
    <x v="4"/>
    <n v="595000"/>
    <n v="567000"/>
    <n v="-28000"/>
    <n v="14000"/>
    <n v="15000"/>
    <n v="1000"/>
    <n v="609000"/>
    <n v="582000"/>
    <n v="-27000"/>
  </r>
  <r>
    <s v="EMP0413"/>
    <x v="4"/>
    <n v="587000"/>
    <n v="559000"/>
    <n v="-28000"/>
    <n v="29000"/>
    <n v="30000"/>
    <n v="1000"/>
    <n v="616000"/>
    <n v="589000"/>
    <n v="-27000"/>
  </r>
  <r>
    <s v="EMP0414"/>
    <x v="4"/>
    <n v="599000"/>
    <n v="570000"/>
    <n v="-29000"/>
    <n v="21000"/>
    <n v="22000"/>
    <n v="1000"/>
    <n v="620000"/>
    <n v="592000"/>
    <n v="-28000"/>
  </r>
  <r>
    <s v="EMP0415"/>
    <x v="4"/>
    <n v="772000"/>
    <n v="735000"/>
    <n v="-37000"/>
    <n v="33000"/>
    <n v="35000"/>
    <n v="2000"/>
    <n v="805000"/>
    <n v="770000"/>
    <n v="-35000"/>
  </r>
  <r>
    <s v="EMP0416"/>
    <x v="4"/>
    <n v="741000"/>
    <n v="706000"/>
    <n v="-35000"/>
    <n v="27000"/>
    <n v="28000"/>
    <n v="1000"/>
    <n v="768000"/>
    <n v="734000"/>
    <n v="-34000"/>
  </r>
  <r>
    <s v="EMP0417"/>
    <x v="4"/>
    <n v="740000"/>
    <n v="705000"/>
    <n v="-35000"/>
    <n v="14000"/>
    <n v="15000"/>
    <n v="1000"/>
    <n v="754000"/>
    <n v="720000"/>
    <n v="-34000"/>
  </r>
  <r>
    <s v="EMP0418"/>
    <x v="4"/>
    <n v="654000"/>
    <n v="623000"/>
    <n v="-31000"/>
    <n v="14000"/>
    <n v="15000"/>
    <n v="1000"/>
    <n v="668000"/>
    <n v="638000"/>
    <n v="-30000"/>
  </r>
  <r>
    <s v="EMP0419"/>
    <x v="4"/>
    <n v="911000"/>
    <n v="868000"/>
    <n v="-43000"/>
    <n v="19000"/>
    <n v="20000"/>
    <n v="1000"/>
    <n v="930000"/>
    <n v="888000"/>
    <n v="-42000"/>
  </r>
  <r>
    <s v="EMP0420"/>
    <x v="4"/>
    <n v="825000"/>
    <n v="786000"/>
    <n v="-39000"/>
    <n v="33000"/>
    <n v="35000"/>
    <n v="2000"/>
    <n v="858000"/>
    <n v="821000"/>
    <n v="-37000"/>
  </r>
  <r>
    <s v="EMP0421"/>
    <x v="4"/>
    <n v="641000"/>
    <n v="610000"/>
    <n v="-31000"/>
    <n v="14000"/>
    <n v="15000"/>
    <n v="1000"/>
    <n v="655000"/>
    <n v="625000"/>
    <n v="-30000"/>
  </r>
  <r>
    <s v="EMP0422"/>
    <x v="4"/>
    <n v="702000"/>
    <n v="669000"/>
    <n v="-33000"/>
    <n v="29000"/>
    <n v="30000"/>
    <n v="1000"/>
    <n v="731000"/>
    <n v="699000"/>
    <n v="-32000"/>
  </r>
  <r>
    <s v="EMP0423"/>
    <x v="4"/>
    <n v="737000"/>
    <n v="702000"/>
    <n v="-35000"/>
    <n v="19000"/>
    <n v="20000"/>
    <n v="1000"/>
    <n v="756000"/>
    <n v="722000"/>
    <n v="-34000"/>
  </r>
  <r>
    <s v="EMP0424"/>
    <x v="4"/>
    <n v="702000"/>
    <n v="669000"/>
    <n v="-33000"/>
    <n v="29000"/>
    <n v="30000"/>
    <n v="1000"/>
    <n v="731000"/>
    <n v="699000"/>
    <n v="-32000"/>
  </r>
  <r>
    <s v="EMP0425"/>
    <x v="4"/>
    <n v="1104000"/>
    <n v="1051000"/>
    <n v="-53000"/>
    <n v="21000"/>
    <n v="22000"/>
    <n v="1000"/>
    <n v="1125000"/>
    <n v="1073000"/>
    <n v="-52000"/>
  </r>
  <r>
    <s v="EMP0426"/>
    <x v="4"/>
    <n v="655000"/>
    <n v="624000"/>
    <n v="-31000"/>
    <n v="14000"/>
    <n v="15000"/>
    <n v="1000"/>
    <n v="669000"/>
    <n v="639000"/>
    <n v="-30000"/>
  </r>
  <r>
    <s v="EMP0427"/>
    <x v="4"/>
    <n v="858000"/>
    <n v="817000"/>
    <n v="-41000"/>
    <n v="14000"/>
    <n v="15000"/>
    <n v="1000"/>
    <n v="872000"/>
    <n v="832000"/>
    <n v="-40000"/>
  </r>
  <r>
    <s v="EMP0428"/>
    <x v="4"/>
    <n v="685000"/>
    <n v="652000"/>
    <n v="-33000"/>
    <n v="27000"/>
    <n v="28000"/>
    <n v="1000"/>
    <n v="712000"/>
    <n v="680000"/>
    <n v="-32000"/>
  </r>
  <r>
    <s v="EMP0429"/>
    <x v="4"/>
    <n v="735000"/>
    <n v="700000"/>
    <n v="-35000"/>
    <n v="14000"/>
    <n v="15000"/>
    <n v="1000"/>
    <n v="749000"/>
    <n v="715000"/>
    <n v="-34000"/>
  </r>
  <r>
    <s v="EMP0430"/>
    <x v="4"/>
    <n v="840000"/>
    <n v="800000"/>
    <n v="-40000"/>
    <n v="24000"/>
    <n v="25000"/>
    <n v="1000"/>
    <n v="864000"/>
    <n v="825000"/>
    <n v="-39000"/>
  </r>
  <r>
    <s v="EMP0431"/>
    <x v="4"/>
    <n v="695000"/>
    <n v="662000"/>
    <n v="-33000"/>
    <n v="14000"/>
    <n v="15000"/>
    <n v="1000"/>
    <n v="709000"/>
    <n v="677000"/>
    <n v="-32000"/>
  </r>
  <r>
    <s v="EMP0432"/>
    <x v="4"/>
    <n v="721000"/>
    <n v="687000"/>
    <n v="-34000"/>
    <n v="19000"/>
    <n v="20000"/>
    <n v="1000"/>
    <n v="740000"/>
    <n v="707000"/>
    <n v="-33000"/>
  </r>
  <r>
    <s v="EMP0433"/>
    <x v="4"/>
    <n v="726000"/>
    <n v="691000"/>
    <n v="-35000"/>
    <n v="19000"/>
    <n v="20000"/>
    <n v="1000"/>
    <n v="745000"/>
    <n v="711000"/>
    <n v="-34000"/>
  </r>
  <r>
    <s v="EMP0434"/>
    <x v="4"/>
    <n v="914000"/>
    <n v="870000"/>
    <n v="-44000"/>
    <n v="27000"/>
    <n v="28000"/>
    <n v="1000"/>
    <n v="941000"/>
    <n v="898000"/>
    <n v="-43000"/>
  </r>
  <r>
    <s v="EMP0435"/>
    <x v="4"/>
    <n v="767000"/>
    <n v="730000"/>
    <n v="-37000"/>
    <n v="17000"/>
    <n v="18000"/>
    <n v="1000"/>
    <n v="784000"/>
    <n v="748000"/>
    <n v="-36000"/>
  </r>
  <r>
    <s v="EMP0436"/>
    <x v="4"/>
    <n v="1005000"/>
    <n v="957000"/>
    <n v="-48000"/>
    <n v="17000"/>
    <n v="18000"/>
    <n v="1000"/>
    <n v="1022000"/>
    <n v="975000"/>
    <n v="-47000"/>
  </r>
  <r>
    <s v="EMP0437"/>
    <x v="4"/>
    <n v="793000"/>
    <n v="755000"/>
    <n v="-38000"/>
    <n v="27000"/>
    <n v="28000"/>
    <n v="1000"/>
    <n v="820000"/>
    <n v="783000"/>
    <n v="-37000"/>
  </r>
  <r>
    <s v="EMP0438"/>
    <x v="4"/>
    <n v="705000"/>
    <n v="671000"/>
    <n v="-34000"/>
    <n v="27000"/>
    <n v="28000"/>
    <n v="1000"/>
    <n v="732000"/>
    <n v="699000"/>
    <n v="-33000"/>
  </r>
  <r>
    <s v="EMP0439"/>
    <x v="4"/>
    <n v="791000"/>
    <n v="753000"/>
    <n v="-38000"/>
    <n v="29000"/>
    <n v="30000"/>
    <n v="1000"/>
    <n v="820000"/>
    <n v="783000"/>
    <n v="-37000"/>
  </r>
  <r>
    <s v="EMP0440"/>
    <x v="4"/>
    <n v="791000"/>
    <n v="753000"/>
    <n v="-38000"/>
    <n v="17000"/>
    <n v="18000"/>
    <n v="1000"/>
    <n v="808000"/>
    <n v="771000"/>
    <n v="-37000"/>
  </r>
  <r>
    <s v="EMP0441"/>
    <x v="4"/>
    <n v="901000"/>
    <n v="858000"/>
    <n v="-43000"/>
    <n v="29000"/>
    <n v="30000"/>
    <n v="1000"/>
    <n v="930000"/>
    <n v="888000"/>
    <n v="-42000"/>
  </r>
  <r>
    <s v="EMP0442"/>
    <x v="4"/>
    <n v="568000"/>
    <n v="541000"/>
    <n v="-27000"/>
    <n v="27000"/>
    <n v="28000"/>
    <n v="1000"/>
    <n v="595000"/>
    <n v="569000"/>
    <n v="-26000"/>
  </r>
  <r>
    <s v="EMP0443"/>
    <x v="4"/>
    <n v="580000"/>
    <n v="552000"/>
    <n v="-28000"/>
    <n v="29000"/>
    <n v="30000"/>
    <n v="1000"/>
    <n v="609000"/>
    <n v="582000"/>
    <n v="-27000"/>
  </r>
  <r>
    <s v="EMP0444"/>
    <x v="4"/>
    <n v="644000"/>
    <n v="613000"/>
    <n v="-31000"/>
    <n v="27000"/>
    <n v="28000"/>
    <n v="1000"/>
    <n v="671000"/>
    <n v="641000"/>
    <n v="-30000"/>
  </r>
  <r>
    <s v="EMP0445"/>
    <x v="4"/>
    <n v="625000"/>
    <n v="595000"/>
    <n v="-30000"/>
    <n v="21000"/>
    <n v="22000"/>
    <n v="1000"/>
    <n v="646000"/>
    <n v="617000"/>
    <n v="-29000"/>
  </r>
  <r>
    <s v="EMP0446"/>
    <x v="4"/>
    <n v="620000"/>
    <n v="590000"/>
    <n v="-30000"/>
    <n v="24000"/>
    <n v="25000"/>
    <n v="1000"/>
    <n v="644000"/>
    <n v="615000"/>
    <n v="-29000"/>
  </r>
  <r>
    <s v="EMP0447"/>
    <x v="4"/>
    <n v="590000"/>
    <n v="562000"/>
    <n v="-28000"/>
    <n v="24000"/>
    <n v="25000"/>
    <n v="1000"/>
    <n v="614000"/>
    <n v="587000"/>
    <n v="-27000"/>
  </r>
  <r>
    <s v="EMP0448"/>
    <x v="4"/>
    <n v="602000"/>
    <n v="573000"/>
    <n v="-29000"/>
    <n v="33000"/>
    <n v="35000"/>
    <n v="2000"/>
    <n v="635000"/>
    <n v="608000"/>
    <n v="-27000"/>
  </r>
  <r>
    <s v="EMP0449"/>
    <x v="4"/>
    <n v="582000"/>
    <n v="554000"/>
    <n v="-28000"/>
    <n v="29000"/>
    <n v="30000"/>
    <n v="1000"/>
    <n v="611000"/>
    <n v="584000"/>
    <n v="-27000"/>
  </r>
  <r>
    <s v="EMP0450"/>
    <x v="4"/>
    <n v="792000"/>
    <n v="754000"/>
    <n v="-38000"/>
    <n v="27000"/>
    <n v="28000"/>
    <n v="1000"/>
    <n v="819000"/>
    <n v="782000"/>
    <n v="-37000"/>
  </r>
  <r>
    <s v="EMP0451"/>
    <x v="4"/>
    <n v="744000"/>
    <n v="709000"/>
    <n v="-35000"/>
    <n v="24000"/>
    <n v="25000"/>
    <n v="1000"/>
    <n v="768000"/>
    <n v="734000"/>
    <n v="-34000"/>
  </r>
  <r>
    <s v="EMP0452"/>
    <x v="4"/>
    <n v="1041000"/>
    <n v="991000"/>
    <n v="-50000"/>
    <n v="29000"/>
    <n v="30000"/>
    <n v="1000"/>
    <n v="1070000"/>
    <n v="1021000"/>
    <n v="-49000"/>
  </r>
  <r>
    <s v="EMP0453"/>
    <x v="4"/>
    <n v="664000"/>
    <n v="632000"/>
    <n v="-32000"/>
    <n v="21000"/>
    <n v="22000"/>
    <n v="1000"/>
    <n v="685000"/>
    <n v="654000"/>
    <n v="-31000"/>
  </r>
  <r>
    <s v="EMP0454"/>
    <x v="4"/>
    <n v="676000"/>
    <n v="644000"/>
    <n v="-32000"/>
    <n v="21000"/>
    <n v="22000"/>
    <n v="1000"/>
    <n v="697000"/>
    <n v="666000"/>
    <n v="-31000"/>
  </r>
  <r>
    <s v="EMP0455"/>
    <x v="4"/>
    <n v="882000"/>
    <n v="840000"/>
    <n v="-42000"/>
    <n v="33000"/>
    <n v="35000"/>
    <n v="2000"/>
    <n v="915000"/>
    <n v="875000"/>
    <n v="-40000"/>
  </r>
  <r>
    <s v="EMP0456"/>
    <x v="4"/>
    <n v="677000"/>
    <n v="645000"/>
    <n v="-32000"/>
    <n v="17000"/>
    <n v="18000"/>
    <n v="1000"/>
    <n v="694000"/>
    <n v="663000"/>
    <n v="-31000"/>
  </r>
  <r>
    <s v="EMP0457"/>
    <x v="4"/>
    <n v="707000"/>
    <n v="673000"/>
    <n v="-34000"/>
    <n v="24000"/>
    <n v="25000"/>
    <n v="1000"/>
    <n v="731000"/>
    <n v="698000"/>
    <n v="-33000"/>
  </r>
  <r>
    <s v="EMP0458"/>
    <x v="4"/>
    <n v="777000"/>
    <n v="740000"/>
    <n v="-37000"/>
    <n v="17000"/>
    <n v="18000"/>
    <n v="1000"/>
    <n v="794000"/>
    <n v="758000"/>
    <n v="-36000"/>
  </r>
  <r>
    <s v="EMP0459"/>
    <x v="4"/>
    <n v="756000"/>
    <n v="720000"/>
    <n v="-36000"/>
    <n v="29000"/>
    <n v="30000"/>
    <n v="1000"/>
    <n v="785000"/>
    <n v="750000"/>
    <n v="-35000"/>
  </r>
  <r>
    <s v="EMP0460"/>
    <x v="4"/>
    <n v="699000"/>
    <n v="666000"/>
    <n v="-33000"/>
    <n v="17000"/>
    <n v="18000"/>
    <n v="1000"/>
    <n v="716000"/>
    <n v="684000"/>
    <n v="-32000"/>
  </r>
  <r>
    <s v="EMP0461"/>
    <x v="4"/>
    <n v="659000"/>
    <n v="628000"/>
    <n v="-31000"/>
    <n v="14000"/>
    <n v="15000"/>
    <n v="1000"/>
    <n v="673000"/>
    <n v="643000"/>
    <n v="-30000"/>
  </r>
  <r>
    <s v="EMP0462"/>
    <x v="4"/>
    <n v="767000"/>
    <n v="730000"/>
    <n v="-37000"/>
    <n v="27000"/>
    <n v="28000"/>
    <n v="1000"/>
    <n v="794000"/>
    <n v="758000"/>
    <n v="-36000"/>
  </r>
  <r>
    <s v="EMP0463"/>
    <x v="4"/>
    <n v="758000"/>
    <n v="722000"/>
    <n v="-36000"/>
    <n v="21000"/>
    <n v="22000"/>
    <n v="1000"/>
    <n v="779000"/>
    <n v="744000"/>
    <n v="-35000"/>
  </r>
  <r>
    <s v="EMP0464"/>
    <x v="4"/>
    <n v="899000"/>
    <n v="856000"/>
    <n v="-43000"/>
    <n v="19000"/>
    <n v="20000"/>
    <n v="1000"/>
    <n v="918000"/>
    <n v="876000"/>
    <n v="-42000"/>
  </r>
  <r>
    <s v="EMP0465"/>
    <x v="4"/>
    <n v="582000"/>
    <n v="554000"/>
    <n v="-28000"/>
    <n v="17000"/>
    <n v="18000"/>
    <n v="1000"/>
    <n v="599000"/>
    <n v="572000"/>
    <n v="-27000"/>
  </r>
  <r>
    <s v="EMP0466"/>
    <x v="4"/>
    <n v="1027000"/>
    <n v="978000"/>
    <n v="-49000"/>
    <n v="33000"/>
    <n v="35000"/>
    <n v="2000"/>
    <n v="1060000"/>
    <n v="1013000"/>
    <n v="-47000"/>
  </r>
  <r>
    <s v="EMP0467"/>
    <x v="4"/>
    <n v="820000"/>
    <n v="781000"/>
    <n v="-39000"/>
    <n v="33000"/>
    <n v="35000"/>
    <n v="2000"/>
    <n v="853000"/>
    <n v="816000"/>
    <n v="-37000"/>
  </r>
  <r>
    <s v="EMP0468"/>
    <x v="4"/>
    <n v="679000"/>
    <n v="647000"/>
    <n v="-32000"/>
    <n v="27000"/>
    <n v="28000"/>
    <n v="1000"/>
    <n v="706000"/>
    <n v="675000"/>
    <n v="-31000"/>
  </r>
  <r>
    <s v="EMP0469"/>
    <x v="4"/>
    <n v="688000"/>
    <n v="655000"/>
    <n v="-33000"/>
    <n v="21000"/>
    <n v="22000"/>
    <n v="1000"/>
    <n v="709000"/>
    <n v="677000"/>
    <n v="-32000"/>
  </r>
  <r>
    <s v="EMP0470"/>
    <x v="4"/>
    <n v="817000"/>
    <n v="778000"/>
    <n v="-39000"/>
    <n v="33000"/>
    <n v="35000"/>
    <n v="2000"/>
    <n v="850000"/>
    <n v="813000"/>
    <n v="-37000"/>
  </r>
  <r>
    <s v="EMP0471"/>
    <x v="4"/>
    <n v="790000"/>
    <n v="752000"/>
    <n v="-38000"/>
    <n v="29000"/>
    <n v="30000"/>
    <n v="1000"/>
    <n v="819000"/>
    <n v="782000"/>
    <n v="-37000"/>
  </r>
  <r>
    <s v="EMP0472"/>
    <x v="4"/>
    <n v="781000"/>
    <n v="744000"/>
    <n v="-37000"/>
    <n v="29000"/>
    <n v="30000"/>
    <n v="1000"/>
    <n v="810000"/>
    <n v="774000"/>
    <n v="-36000"/>
  </r>
  <r>
    <s v="EMP0473"/>
    <x v="4"/>
    <n v="695000"/>
    <n v="662000"/>
    <n v="-33000"/>
    <n v="17000"/>
    <n v="18000"/>
    <n v="1000"/>
    <n v="712000"/>
    <n v="680000"/>
    <n v="-32000"/>
  </r>
  <r>
    <s v="EMP0474"/>
    <x v="4"/>
    <n v="727000"/>
    <n v="692000"/>
    <n v="-35000"/>
    <n v="21000"/>
    <n v="22000"/>
    <n v="1000"/>
    <n v="748000"/>
    <n v="714000"/>
    <n v="-34000"/>
  </r>
  <r>
    <s v="EMP0475"/>
    <x v="4"/>
    <n v="687000"/>
    <n v="654000"/>
    <n v="-33000"/>
    <n v="27000"/>
    <n v="28000"/>
    <n v="1000"/>
    <n v="714000"/>
    <n v="682000"/>
    <n v="-32000"/>
  </r>
  <r>
    <s v="EMP0476"/>
    <x v="4"/>
    <n v="756000"/>
    <n v="720000"/>
    <n v="-36000"/>
    <n v="33000"/>
    <n v="35000"/>
    <n v="2000"/>
    <n v="789000"/>
    <n v="755000"/>
    <n v="-34000"/>
  </r>
  <r>
    <s v="EMP0477"/>
    <x v="4"/>
    <n v="754000"/>
    <n v="718000"/>
    <n v="-36000"/>
    <n v="17000"/>
    <n v="18000"/>
    <n v="1000"/>
    <n v="771000"/>
    <n v="736000"/>
    <n v="-35000"/>
  </r>
  <r>
    <s v="EMP0478"/>
    <x v="4"/>
    <n v="600000"/>
    <n v="571000"/>
    <n v="-29000"/>
    <n v="27000"/>
    <n v="28000"/>
    <n v="1000"/>
    <n v="627000"/>
    <n v="599000"/>
    <n v="-28000"/>
  </r>
  <r>
    <s v="EMP0479"/>
    <x v="4"/>
    <n v="834000"/>
    <n v="794000"/>
    <n v="-40000"/>
    <n v="29000"/>
    <n v="30000"/>
    <n v="1000"/>
    <n v="863000"/>
    <n v="824000"/>
    <n v="-39000"/>
  </r>
  <r>
    <s v="EMP0480"/>
    <x v="4"/>
    <n v="856000"/>
    <n v="815000"/>
    <n v="-41000"/>
    <n v="19000"/>
    <n v="20000"/>
    <n v="1000"/>
    <n v="875000"/>
    <n v="835000"/>
    <n v="-40000"/>
  </r>
  <r>
    <s v="EMP0481"/>
    <x v="4"/>
    <n v="782000"/>
    <n v="745000"/>
    <n v="-37000"/>
    <n v="33000"/>
    <n v="35000"/>
    <n v="2000"/>
    <n v="815000"/>
    <n v="780000"/>
    <n v="-35000"/>
  </r>
  <r>
    <s v="EMP0482"/>
    <x v="4"/>
    <n v="885000"/>
    <n v="843000"/>
    <n v="-42000"/>
    <n v="21000"/>
    <n v="22000"/>
    <n v="1000"/>
    <n v="906000"/>
    <n v="865000"/>
    <n v="-41000"/>
  </r>
  <r>
    <s v="EMP0483"/>
    <x v="4"/>
    <n v="1115000"/>
    <n v="1062000"/>
    <n v="-53000"/>
    <n v="33000"/>
    <n v="35000"/>
    <n v="2000"/>
    <n v="1148000"/>
    <n v="1097000"/>
    <n v="-51000"/>
  </r>
  <r>
    <s v="EMP0484"/>
    <x v="4"/>
    <n v="719000"/>
    <n v="685000"/>
    <n v="-34000"/>
    <n v="14000"/>
    <n v="15000"/>
    <n v="1000"/>
    <n v="733000"/>
    <n v="700000"/>
    <n v="-33000"/>
  </r>
  <r>
    <s v="EMP0485"/>
    <x v="4"/>
    <n v="571000"/>
    <n v="544000"/>
    <n v="-27000"/>
    <n v="24000"/>
    <n v="25000"/>
    <n v="1000"/>
    <n v="595000"/>
    <n v="569000"/>
    <n v="-26000"/>
  </r>
  <r>
    <s v="EMP0486"/>
    <x v="4"/>
    <n v="894000"/>
    <n v="851000"/>
    <n v="-43000"/>
    <n v="17000"/>
    <n v="18000"/>
    <n v="1000"/>
    <n v="911000"/>
    <n v="869000"/>
    <n v="-42000"/>
  </r>
  <r>
    <s v="EMP0487"/>
    <x v="4"/>
    <n v="643000"/>
    <n v="612000"/>
    <n v="-31000"/>
    <n v="14000"/>
    <n v="15000"/>
    <n v="1000"/>
    <n v="657000"/>
    <n v="627000"/>
    <n v="-30000"/>
  </r>
  <r>
    <s v="EMP0488"/>
    <x v="4"/>
    <n v="796000"/>
    <n v="758000"/>
    <n v="-38000"/>
    <n v="21000"/>
    <n v="22000"/>
    <n v="1000"/>
    <n v="817000"/>
    <n v="780000"/>
    <n v="-37000"/>
  </r>
  <r>
    <s v="EMP0489"/>
    <x v="4"/>
    <n v="1311000"/>
    <n v="1249000"/>
    <n v="-62000"/>
    <n v="17000"/>
    <n v="18000"/>
    <n v="1000"/>
    <n v="1328000"/>
    <n v="1267000"/>
    <n v="-61000"/>
  </r>
  <r>
    <s v="EMP0490"/>
    <x v="4"/>
    <n v="1405000"/>
    <n v="1338000"/>
    <n v="-67000"/>
    <n v="27000"/>
    <n v="28000"/>
    <n v="1000"/>
    <n v="1432000"/>
    <n v="1366000"/>
    <n v="-66000"/>
  </r>
  <r>
    <s v="EMP0491"/>
    <x v="4"/>
    <n v="731000"/>
    <n v="696000"/>
    <n v="-35000"/>
    <n v="21000"/>
    <n v="22000"/>
    <n v="1000"/>
    <n v="752000"/>
    <n v="718000"/>
    <n v="-34000"/>
  </r>
  <r>
    <s v="EMP0492"/>
    <x v="4"/>
    <n v="732000"/>
    <n v="697000"/>
    <n v="-35000"/>
    <n v="19000"/>
    <n v="20000"/>
    <n v="1000"/>
    <n v="751000"/>
    <n v="717000"/>
    <n v="-34000"/>
  </r>
  <r>
    <s v="EMP0493"/>
    <x v="4"/>
    <n v="709000"/>
    <n v="675000"/>
    <n v="-34000"/>
    <n v="17000"/>
    <n v="18000"/>
    <n v="1000"/>
    <n v="726000"/>
    <n v="693000"/>
    <n v="-33000"/>
  </r>
  <r>
    <s v="EMP0494"/>
    <x v="4"/>
    <n v="708000"/>
    <n v="674000"/>
    <n v="-34000"/>
    <n v="24000"/>
    <n v="25000"/>
    <n v="1000"/>
    <n v="732000"/>
    <n v="699000"/>
    <n v="-33000"/>
  </r>
  <r>
    <s v="EMP0495"/>
    <x v="4"/>
    <n v="687000"/>
    <n v="654000"/>
    <n v="-33000"/>
    <n v="27000"/>
    <n v="28000"/>
    <n v="1000"/>
    <n v="714000"/>
    <n v="682000"/>
    <n v="-32000"/>
  </r>
  <r>
    <s v="EMP0496"/>
    <x v="4"/>
    <n v="749000"/>
    <n v="713000"/>
    <n v="-36000"/>
    <n v="24000"/>
    <n v="25000"/>
    <n v="1000"/>
    <n v="773000"/>
    <n v="738000"/>
    <n v="-35000"/>
  </r>
  <r>
    <s v="EMP0497"/>
    <x v="4"/>
    <n v="770000"/>
    <n v="733000"/>
    <n v="-37000"/>
    <n v="17000"/>
    <n v="18000"/>
    <n v="1000"/>
    <n v="787000"/>
    <n v="751000"/>
    <n v="-36000"/>
  </r>
  <r>
    <s v="EMP0498"/>
    <x v="4"/>
    <n v="752000"/>
    <n v="716000"/>
    <n v="-36000"/>
    <n v="33000"/>
    <n v="35000"/>
    <n v="2000"/>
    <n v="785000"/>
    <n v="751000"/>
    <n v="-34000"/>
  </r>
  <r>
    <s v="EMP0499"/>
    <x v="4"/>
    <n v="567000"/>
    <n v="540000"/>
    <n v="-27000"/>
    <n v="17000"/>
    <n v="18000"/>
    <n v="1000"/>
    <n v="584000"/>
    <n v="558000"/>
    <n v="-26000"/>
  </r>
  <r>
    <s v="EMP0500"/>
    <x v="4"/>
    <n v="879000"/>
    <n v="837000"/>
    <n v="-42000"/>
    <n v="17000"/>
    <n v="18000"/>
    <n v="1000"/>
    <n v="896000"/>
    <n v="855000"/>
    <n v="-41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x v="0"/>
    <x v="0"/>
    <s v="Data Engineer"/>
    <s v="Mid"/>
    <n v="815000"/>
    <n v="90000"/>
    <n v="22000"/>
    <s v="Active"/>
    <n v="905000"/>
    <n v="927000"/>
  </r>
  <r>
    <x v="1"/>
    <x v="0"/>
    <s v="Software Engineer"/>
    <s v="Mid"/>
    <n v="765000"/>
    <n v="93000"/>
    <n v="30000"/>
    <s v="Exit"/>
    <n v="858000"/>
    <n v="888000"/>
  </r>
  <r>
    <x v="2"/>
    <x v="0"/>
    <s v="Software Engineer"/>
    <s v="Mid"/>
    <n v="685000"/>
    <n v="85000"/>
    <n v="22000"/>
    <s v="Active"/>
    <n v="770000"/>
    <n v="792000"/>
  </r>
  <r>
    <x v="3"/>
    <x v="0"/>
    <s v="Data Engineer"/>
    <s v="Mid"/>
    <n v="893000"/>
    <n v="105000"/>
    <n v="25000"/>
    <s v="Active"/>
    <n v="998000"/>
    <n v="1023000"/>
  </r>
  <r>
    <x v="4"/>
    <x v="0"/>
    <s v="Software Engineer"/>
    <s v="Mid"/>
    <n v="776000"/>
    <n v="99000"/>
    <n v="28000"/>
    <s v="Active"/>
    <n v="875000"/>
    <n v="903000"/>
  </r>
  <r>
    <x v="5"/>
    <x v="0"/>
    <s v="Software Engineer"/>
    <s v="Mid"/>
    <n v="769000"/>
    <n v="80000"/>
    <n v="30000"/>
    <s v="Active"/>
    <n v="849000"/>
    <n v="879000"/>
  </r>
  <r>
    <x v="6"/>
    <x v="0"/>
    <s v="DevOps Engineer"/>
    <s v="Mid"/>
    <n v="878000"/>
    <n v="116000"/>
    <n v="35000"/>
    <s v="Active"/>
    <n v="994000"/>
    <n v="1029000"/>
  </r>
  <r>
    <x v="7"/>
    <x v="0"/>
    <s v="Engineering Manager"/>
    <s v="Leadership"/>
    <n v="1426000"/>
    <n v="174000"/>
    <n v="28000"/>
    <s v="Active"/>
    <n v="1600000"/>
    <n v="1628000"/>
  </r>
  <r>
    <x v="8"/>
    <x v="0"/>
    <s v="Data Engineer"/>
    <s v="Mid"/>
    <n v="819000"/>
    <n v="89000"/>
    <n v="25000"/>
    <s v="Active"/>
    <n v="908000"/>
    <n v="933000"/>
  </r>
  <r>
    <x v="9"/>
    <x v="0"/>
    <s v="QA Engineer"/>
    <s v="Mid"/>
    <n v="709000"/>
    <n v="82000"/>
    <n v="35000"/>
    <s v="Active"/>
    <n v="791000"/>
    <n v="826000"/>
  </r>
  <r>
    <x v="10"/>
    <x v="0"/>
    <s v="Senior Software Engineer"/>
    <s v="Senior"/>
    <n v="1080000"/>
    <n v="117000"/>
    <n v="25000"/>
    <s v="Active"/>
    <n v="1197000"/>
    <n v="1222000"/>
  </r>
  <r>
    <x v="11"/>
    <x v="0"/>
    <s v="Data Engineer"/>
    <s v="Mid"/>
    <n v="824000"/>
    <n v="103000"/>
    <n v="22000"/>
    <s v="Active"/>
    <n v="927000"/>
    <n v="949000"/>
  </r>
  <r>
    <x v="12"/>
    <x v="0"/>
    <s v="Senior Software Engineer"/>
    <s v="Senior"/>
    <n v="1229000"/>
    <n v="154000"/>
    <n v="22000"/>
    <s v="Active"/>
    <n v="1383000"/>
    <n v="1405000"/>
  </r>
  <r>
    <x v="13"/>
    <x v="0"/>
    <s v="DevOps Engineer"/>
    <s v="Mid"/>
    <n v="910000"/>
    <n v="99000"/>
    <n v="15000"/>
    <s v="Active"/>
    <n v="1009000"/>
    <n v="1024000"/>
  </r>
  <r>
    <x v="14"/>
    <x v="0"/>
    <s v="Senior Software Engineer"/>
    <s v="Senior"/>
    <n v="1006000"/>
    <n v="137000"/>
    <n v="28000"/>
    <s v="Active"/>
    <n v="1143000"/>
    <n v="1171000"/>
  </r>
  <r>
    <x v="15"/>
    <x v="0"/>
    <s v="Senior Software Engineer"/>
    <s v="Senior"/>
    <n v="1204000"/>
    <n v="151000"/>
    <n v="20000"/>
    <s v="Active"/>
    <n v="1355000"/>
    <n v="1375000"/>
  </r>
  <r>
    <x v="16"/>
    <x v="0"/>
    <s v="Software Engineer"/>
    <s v="Mid"/>
    <n v="737000"/>
    <n v="81000"/>
    <n v="30000"/>
    <s v="Active"/>
    <n v="818000"/>
    <n v="848000"/>
  </r>
  <r>
    <x v="17"/>
    <x v="0"/>
    <s v="Senior Software Engineer"/>
    <s v="Senior"/>
    <n v="1043000"/>
    <n v="146000"/>
    <n v="35000"/>
    <s v="Active"/>
    <n v="1189000"/>
    <n v="1224000"/>
  </r>
  <r>
    <x v="18"/>
    <x v="0"/>
    <s v="Software Engineer"/>
    <s v="Mid"/>
    <n v="665000"/>
    <n v="83000"/>
    <n v="30000"/>
    <s v="Active"/>
    <n v="748000"/>
    <n v="778000"/>
  </r>
  <r>
    <x v="19"/>
    <x v="0"/>
    <s v="Senior Software Engineer"/>
    <s v="Senior"/>
    <n v="1134000"/>
    <n v="135000"/>
    <n v="25000"/>
    <s v="Active"/>
    <n v="1269000"/>
    <n v="1294000"/>
  </r>
  <r>
    <x v="20"/>
    <x v="0"/>
    <s v="QA Engineer"/>
    <s v="Mid"/>
    <n v="587000"/>
    <n v="76000"/>
    <n v="25000"/>
    <s v="Active"/>
    <n v="663000"/>
    <n v="688000"/>
  </r>
  <r>
    <x v="21"/>
    <x v="0"/>
    <s v="Senior Software Engineer"/>
    <s v="Senior"/>
    <n v="1061000"/>
    <n v="113000"/>
    <n v="15000"/>
    <s v="Active"/>
    <n v="1174000"/>
    <n v="1189000"/>
  </r>
  <r>
    <x v="22"/>
    <x v="0"/>
    <s v="QA Engineer"/>
    <s v="Mid"/>
    <n v="623000"/>
    <n v="75000"/>
    <n v="20000"/>
    <s v="Active"/>
    <n v="698000"/>
    <n v="718000"/>
  </r>
  <r>
    <x v="23"/>
    <x v="0"/>
    <s v="Software Engineer"/>
    <s v="Mid"/>
    <n v="747000"/>
    <n v="100000"/>
    <n v="22000"/>
    <s v="Active"/>
    <n v="847000"/>
    <n v="869000"/>
  </r>
  <r>
    <x v="24"/>
    <x v="0"/>
    <s v="DevOps Engineer"/>
    <s v="Mid"/>
    <n v="866000"/>
    <n v="114000"/>
    <n v="15000"/>
    <s v="Active"/>
    <n v="980000"/>
    <n v="995000"/>
  </r>
  <r>
    <x v="25"/>
    <x v="0"/>
    <s v="Senior Software Engineer"/>
    <s v="Senior"/>
    <n v="1017000"/>
    <n v="116000"/>
    <n v="25000"/>
    <s v="Active"/>
    <n v="1133000"/>
    <n v="1158000"/>
  </r>
  <r>
    <x v="26"/>
    <x v="0"/>
    <s v="Software Engineer"/>
    <s v="Mid"/>
    <n v="738000"/>
    <n v="76000"/>
    <n v="35000"/>
    <s v="Active"/>
    <n v="814000"/>
    <n v="849000"/>
  </r>
  <r>
    <x v="27"/>
    <x v="0"/>
    <s v="Engineering Manager"/>
    <s v="Leadership"/>
    <n v="1475000"/>
    <n v="155000"/>
    <n v="35000"/>
    <s v="Active"/>
    <n v="1630000"/>
    <n v="1665000"/>
  </r>
  <r>
    <x v="28"/>
    <x v="0"/>
    <s v="Software Engineer"/>
    <s v="Mid"/>
    <n v="732000"/>
    <n v="91000"/>
    <n v="22000"/>
    <s v="Active"/>
    <n v="823000"/>
    <n v="845000"/>
  </r>
  <r>
    <x v="29"/>
    <x v="0"/>
    <s v="DevOps Engineer"/>
    <s v="Mid"/>
    <n v="894000"/>
    <n v="115000"/>
    <n v="30000"/>
    <s v="Active"/>
    <n v="1009000"/>
    <n v="1039000"/>
  </r>
  <r>
    <x v="30"/>
    <x v="0"/>
    <s v="Data Engineer"/>
    <s v="Mid"/>
    <n v="897000"/>
    <n v="108000"/>
    <n v="18000"/>
    <s v="Active"/>
    <n v="1005000"/>
    <n v="1023000"/>
  </r>
  <r>
    <x v="31"/>
    <x v="0"/>
    <s v="Software Engineer"/>
    <s v="Mid"/>
    <n v="651000"/>
    <n v="80000"/>
    <n v="22000"/>
    <s v="Exit"/>
    <n v="731000"/>
    <n v="753000"/>
  </r>
  <r>
    <x v="32"/>
    <x v="0"/>
    <s v="DevOps Engineer"/>
    <s v="Mid"/>
    <n v="776000"/>
    <n v="80000"/>
    <n v="15000"/>
    <s v="Active"/>
    <n v="856000"/>
    <n v="871000"/>
  </r>
  <r>
    <x v="33"/>
    <x v="0"/>
    <s v="Software Engineer"/>
    <s v="Mid"/>
    <n v="686000"/>
    <n v="87000"/>
    <n v="22000"/>
    <s v="Active"/>
    <n v="773000"/>
    <n v="795000"/>
  </r>
  <r>
    <x v="34"/>
    <x v="0"/>
    <s v="DevOps Engineer"/>
    <s v="Mid"/>
    <n v="930000"/>
    <n v="114000"/>
    <n v="22000"/>
    <s v="Active"/>
    <n v="1044000"/>
    <n v="1066000"/>
  </r>
  <r>
    <x v="35"/>
    <x v="0"/>
    <s v="DevOps Engineer"/>
    <s v="Mid"/>
    <n v="801000"/>
    <n v="83000"/>
    <n v="30000"/>
    <s v="Active"/>
    <n v="884000"/>
    <n v="914000"/>
  </r>
  <r>
    <x v="36"/>
    <x v="0"/>
    <s v="Senior Software Engineer"/>
    <s v="Senior"/>
    <n v="1199000"/>
    <n v="122000"/>
    <n v="18000"/>
    <s v="Exit"/>
    <n v="1321000"/>
    <n v="1339000"/>
  </r>
  <r>
    <x v="37"/>
    <x v="0"/>
    <s v="DevOps Engineer"/>
    <s v="Mid"/>
    <n v="915000"/>
    <n v="95000"/>
    <n v="22000"/>
    <s v="Active"/>
    <n v="1010000"/>
    <n v="1032000"/>
  </r>
  <r>
    <x v="38"/>
    <x v="0"/>
    <s v="Senior Software Engineer"/>
    <s v="Senior"/>
    <n v="1092000"/>
    <n v="121000"/>
    <n v="22000"/>
    <s v="Active"/>
    <n v="1213000"/>
    <n v="1235000"/>
  </r>
  <r>
    <x v="39"/>
    <x v="0"/>
    <s v="Software Engineer"/>
    <s v="Mid"/>
    <n v="776000"/>
    <n v="104000"/>
    <n v="18000"/>
    <s v="Exit"/>
    <n v="880000"/>
    <n v="898000"/>
  </r>
  <r>
    <x v="40"/>
    <x v="0"/>
    <s v="Engineering Manager"/>
    <s v="Leadership"/>
    <n v="1572000"/>
    <n v="218000"/>
    <n v="22000"/>
    <s v="Active"/>
    <n v="1790000"/>
    <n v="1812000"/>
  </r>
  <r>
    <x v="41"/>
    <x v="0"/>
    <s v="Senior Software Engineer"/>
    <s v="Senior"/>
    <n v="1042000"/>
    <n v="121000"/>
    <n v="15000"/>
    <s v="Active"/>
    <n v="1163000"/>
    <n v="1178000"/>
  </r>
  <r>
    <x v="42"/>
    <x v="0"/>
    <s v="Software Engineer"/>
    <s v="Mid"/>
    <n v="710000"/>
    <n v="97000"/>
    <n v="35000"/>
    <s v="Active"/>
    <n v="807000"/>
    <n v="842000"/>
  </r>
  <r>
    <x v="43"/>
    <x v="0"/>
    <s v="Data Engineer"/>
    <s v="Mid"/>
    <n v="955000"/>
    <n v="125000"/>
    <n v="35000"/>
    <s v="Active"/>
    <n v="1080000"/>
    <n v="1115000"/>
  </r>
  <r>
    <x v="44"/>
    <x v="0"/>
    <s v="Senior Software Engineer"/>
    <s v="Senior"/>
    <n v="1224000"/>
    <n v="151000"/>
    <n v="15000"/>
    <s v="Active"/>
    <n v="1375000"/>
    <n v="1390000"/>
  </r>
  <r>
    <x v="45"/>
    <x v="0"/>
    <s v="Software Engineer"/>
    <s v="Mid"/>
    <n v="741000"/>
    <n v="89000"/>
    <n v="20000"/>
    <s v="Exit"/>
    <n v="830000"/>
    <n v="850000"/>
  </r>
  <r>
    <x v="46"/>
    <x v="0"/>
    <s v="Senior Software Engineer"/>
    <s v="Senior"/>
    <n v="1196000"/>
    <n v="123000"/>
    <n v="18000"/>
    <s v="Active"/>
    <n v="1319000"/>
    <n v="1337000"/>
  </r>
  <r>
    <x v="47"/>
    <x v="0"/>
    <s v="Software Engineer"/>
    <s v="Mid"/>
    <n v="667000"/>
    <n v="90000"/>
    <n v="22000"/>
    <s v="Active"/>
    <n v="757000"/>
    <n v="779000"/>
  </r>
  <r>
    <x v="48"/>
    <x v="0"/>
    <s v="Software Engineer"/>
    <s v="Mid"/>
    <n v="661000"/>
    <n v="83000"/>
    <n v="28000"/>
    <s v="Active"/>
    <n v="744000"/>
    <n v="772000"/>
  </r>
  <r>
    <x v="49"/>
    <x v="0"/>
    <s v="Software Engineer"/>
    <s v="Mid"/>
    <n v="761000"/>
    <n v="83000"/>
    <n v="30000"/>
    <s v="Active"/>
    <n v="844000"/>
    <n v="874000"/>
  </r>
  <r>
    <x v="50"/>
    <x v="0"/>
    <s v="Data Engineer"/>
    <s v="Mid"/>
    <n v="901000"/>
    <n v="124000"/>
    <n v="18000"/>
    <s v="Exit"/>
    <n v="1025000"/>
    <n v="1043000"/>
  </r>
  <r>
    <x v="51"/>
    <x v="0"/>
    <s v="Data Engineer"/>
    <s v="Mid"/>
    <n v="921000"/>
    <n v="96000"/>
    <n v="22000"/>
    <s v="Active"/>
    <n v="1017000"/>
    <n v="1039000"/>
  </r>
  <r>
    <x v="52"/>
    <x v="0"/>
    <s v="Software Engineer"/>
    <s v="Mid"/>
    <n v="703000"/>
    <n v="72000"/>
    <n v="22000"/>
    <s v="Active"/>
    <n v="775000"/>
    <n v="797000"/>
  </r>
  <r>
    <x v="53"/>
    <x v="0"/>
    <s v="Software Engineer"/>
    <s v="Mid"/>
    <n v="780000"/>
    <n v="100000"/>
    <n v="15000"/>
    <s v="Active"/>
    <n v="880000"/>
    <n v="895000"/>
  </r>
  <r>
    <x v="54"/>
    <x v="0"/>
    <s v="Data Engineer"/>
    <s v="Mid"/>
    <n v="994000"/>
    <n v="104000"/>
    <n v="20000"/>
    <s v="Active"/>
    <n v="1098000"/>
    <n v="1118000"/>
  </r>
  <r>
    <x v="55"/>
    <x v="0"/>
    <s v="QA Engineer"/>
    <s v="Mid"/>
    <n v="691000"/>
    <n v="73000"/>
    <n v="25000"/>
    <s v="Active"/>
    <n v="764000"/>
    <n v="789000"/>
  </r>
  <r>
    <x v="56"/>
    <x v="0"/>
    <s v="DevOps Engineer"/>
    <s v="Mid"/>
    <n v="803000"/>
    <n v="101000"/>
    <n v="25000"/>
    <s v="Active"/>
    <n v="904000"/>
    <n v="929000"/>
  </r>
  <r>
    <x v="57"/>
    <x v="0"/>
    <s v="Software Engineer"/>
    <s v="Mid"/>
    <n v="792000"/>
    <n v="81000"/>
    <n v="30000"/>
    <s v="Active"/>
    <n v="873000"/>
    <n v="903000"/>
  </r>
  <r>
    <x v="58"/>
    <x v="0"/>
    <s v="Software Engineer"/>
    <s v="Mid"/>
    <n v="701000"/>
    <n v="74000"/>
    <n v="25000"/>
    <s v="Active"/>
    <n v="775000"/>
    <n v="800000"/>
  </r>
  <r>
    <x v="59"/>
    <x v="0"/>
    <s v="Senior Software Engineer"/>
    <s v="Senior"/>
    <n v="1161000"/>
    <n v="142000"/>
    <n v="18000"/>
    <s v="Exit"/>
    <n v="1303000"/>
    <n v="1321000"/>
  </r>
  <r>
    <x v="60"/>
    <x v="0"/>
    <s v="QA Engineer"/>
    <s v="Mid"/>
    <n v="714000"/>
    <n v="87000"/>
    <n v="28000"/>
    <s v="Active"/>
    <n v="801000"/>
    <n v="829000"/>
  </r>
  <r>
    <x v="61"/>
    <x v="0"/>
    <s v="Software Engineer"/>
    <s v="Mid"/>
    <n v="668000"/>
    <n v="75000"/>
    <n v="15000"/>
    <s v="Active"/>
    <n v="743000"/>
    <n v="758000"/>
  </r>
  <r>
    <x v="62"/>
    <x v="0"/>
    <s v="Software Engineer"/>
    <s v="Mid"/>
    <n v="688000"/>
    <n v="72000"/>
    <n v="30000"/>
    <s v="Active"/>
    <n v="760000"/>
    <n v="790000"/>
  </r>
  <r>
    <x v="63"/>
    <x v="0"/>
    <s v="DevOps Engineer"/>
    <s v="Mid"/>
    <n v="938000"/>
    <n v="103000"/>
    <n v="20000"/>
    <s v="Active"/>
    <n v="1041000"/>
    <n v="1061000"/>
  </r>
  <r>
    <x v="64"/>
    <x v="0"/>
    <s v="DevOps Engineer"/>
    <s v="Mid"/>
    <n v="930000"/>
    <n v="94000"/>
    <n v="28000"/>
    <s v="Active"/>
    <n v="1024000"/>
    <n v="1052000"/>
  </r>
  <r>
    <x v="65"/>
    <x v="0"/>
    <s v="Senior Software Engineer"/>
    <s v="Senior"/>
    <n v="1152000"/>
    <n v="149000"/>
    <n v="22000"/>
    <s v="Active"/>
    <n v="1301000"/>
    <n v="1323000"/>
  </r>
  <r>
    <x v="66"/>
    <x v="0"/>
    <s v="DevOps Engineer"/>
    <s v="Mid"/>
    <n v="785000"/>
    <n v="106000"/>
    <n v="35000"/>
    <s v="Active"/>
    <n v="891000"/>
    <n v="926000"/>
  </r>
  <r>
    <x v="67"/>
    <x v="0"/>
    <s v="DevOps Engineer"/>
    <s v="Mid"/>
    <n v="851000"/>
    <n v="95000"/>
    <n v="22000"/>
    <s v="Active"/>
    <n v="946000"/>
    <n v="968000"/>
  </r>
  <r>
    <x v="68"/>
    <x v="0"/>
    <s v="Data Engineer"/>
    <s v="Mid"/>
    <n v="889000"/>
    <n v="99000"/>
    <n v="18000"/>
    <s v="Active"/>
    <n v="988000"/>
    <n v="1006000"/>
  </r>
  <r>
    <x v="69"/>
    <x v="0"/>
    <s v="Software Engineer"/>
    <s v="Mid"/>
    <n v="750000"/>
    <n v="87000"/>
    <n v="28000"/>
    <s v="Active"/>
    <n v="837000"/>
    <n v="865000"/>
  </r>
  <r>
    <x v="70"/>
    <x v="0"/>
    <s v="Software Engineer"/>
    <s v="Mid"/>
    <n v="802000"/>
    <n v="86000"/>
    <n v="25000"/>
    <s v="Exit"/>
    <n v="888000"/>
    <n v="913000"/>
  </r>
  <r>
    <x v="71"/>
    <x v="0"/>
    <s v="Data Engineer"/>
    <s v="Mid"/>
    <n v="878000"/>
    <n v="115000"/>
    <n v="30000"/>
    <s v="Active"/>
    <n v="993000"/>
    <n v="1023000"/>
  </r>
  <r>
    <x v="72"/>
    <x v="0"/>
    <s v="Senior Software Engineer"/>
    <s v="Senior"/>
    <n v="1083000"/>
    <n v="133000"/>
    <n v="25000"/>
    <s v="Exit"/>
    <n v="1216000"/>
    <n v="1241000"/>
  </r>
  <r>
    <x v="73"/>
    <x v="0"/>
    <s v="Senior Software Engineer"/>
    <s v="Senior"/>
    <n v="1116000"/>
    <n v="148000"/>
    <n v="22000"/>
    <s v="Active"/>
    <n v="1264000"/>
    <n v="1286000"/>
  </r>
  <r>
    <x v="74"/>
    <x v="0"/>
    <s v="Software Engineer"/>
    <s v="Mid"/>
    <n v="753000"/>
    <n v="85000"/>
    <n v="28000"/>
    <s v="Active"/>
    <n v="838000"/>
    <n v="866000"/>
  </r>
  <r>
    <x v="75"/>
    <x v="0"/>
    <s v="Software Engineer"/>
    <s v="Mid"/>
    <n v="791000"/>
    <n v="95000"/>
    <n v="30000"/>
    <s v="Active"/>
    <n v="886000"/>
    <n v="916000"/>
  </r>
  <r>
    <x v="76"/>
    <x v="0"/>
    <s v="Data Engineer"/>
    <s v="Mid"/>
    <n v="920000"/>
    <n v="99000"/>
    <n v="30000"/>
    <s v="Active"/>
    <n v="1019000"/>
    <n v="1049000"/>
  </r>
  <r>
    <x v="77"/>
    <x v="0"/>
    <s v="QA Engineer"/>
    <s v="Mid"/>
    <n v="673000"/>
    <n v="75000"/>
    <n v="15000"/>
    <s v="Active"/>
    <n v="748000"/>
    <n v="763000"/>
  </r>
  <r>
    <x v="78"/>
    <x v="0"/>
    <s v="Software Engineer"/>
    <s v="Mid"/>
    <n v="772000"/>
    <n v="96000"/>
    <n v="28000"/>
    <s v="Active"/>
    <n v="868000"/>
    <n v="896000"/>
  </r>
  <r>
    <x v="79"/>
    <x v="0"/>
    <s v="Senior Software Engineer"/>
    <s v="Senior"/>
    <n v="1042000"/>
    <n v="124000"/>
    <n v="20000"/>
    <s v="Active"/>
    <n v="1166000"/>
    <n v="1186000"/>
  </r>
  <r>
    <x v="80"/>
    <x v="0"/>
    <s v="Software Engineer"/>
    <s v="Mid"/>
    <n v="753000"/>
    <n v="94000"/>
    <n v="18000"/>
    <s v="Active"/>
    <n v="847000"/>
    <n v="865000"/>
  </r>
  <r>
    <x v="81"/>
    <x v="0"/>
    <s v="DevOps Engineer"/>
    <s v="Mid"/>
    <n v="891000"/>
    <n v="97000"/>
    <n v="22000"/>
    <s v="Active"/>
    <n v="988000"/>
    <n v="1010000"/>
  </r>
  <r>
    <x v="82"/>
    <x v="0"/>
    <s v="Software Engineer"/>
    <s v="Mid"/>
    <n v="804000"/>
    <n v="100000"/>
    <n v="18000"/>
    <s v="Active"/>
    <n v="904000"/>
    <n v="922000"/>
  </r>
  <r>
    <x v="83"/>
    <x v="0"/>
    <s v="QA Engineer"/>
    <s v="Mid"/>
    <n v="667000"/>
    <n v="86000"/>
    <n v="30000"/>
    <s v="Active"/>
    <n v="753000"/>
    <n v="783000"/>
  </r>
  <r>
    <x v="84"/>
    <x v="0"/>
    <s v="Software Engineer"/>
    <s v="Mid"/>
    <n v="752000"/>
    <n v="75000"/>
    <n v="18000"/>
    <s v="Active"/>
    <n v="827000"/>
    <n v="845000"/>
  </r>
  <r>
    <x v="85"/>
    <x v="0"/>
    <s v="Software Engineer"/>
    <s v="Mid"/>
    <n v="775000"/>
    <n v="99000"/>
    <n v="35000"/>
    <s v="Exit"/>
    <n v="874000"/>
    <n v="909000"/>
  </r>
  <r>
    <x v="86"/>
    <x v="0"/>
    <s v="Software Engineer"/>
    <s v="Mid"/>
    <n v="782000"/>
    <n v="92000"/>
    <n v="35000"/>
    <s v="Active"/>
    <n v="874000"/>
    <n v="909000"/>
  </r>
  <r>
    <x v="87"/>
    <x v="0"/>
    <s v="Engineering Manager"/>
    <s v="Leadership"/>
    <n v="1495000"/>
    <n v="206000"/>
    <n v="35000"/>
    <s v="Active"/>
    <n v="1701000"/>
    <n v="1736000"/>
  </r>
  <r>
    <x v="88"/>
    <x v="0"/>
    <s v="DevOps Engineer"/>
    <s v="Mid"/>
    <n v="859000"/>
    <n v="114000"/>
    <n v="35000"/>
    <s v="Active"/>
    <n v="973000"/>
    <n v="1008000"/>
  </r>
  <r>
    <x v="89"/>
    <x v="0"/>
    <s v="DevOps Engineer"/>
    <s v="Mid"/>
    <n v="854000"/>
    <n v="94000"/>
    <n v="22000"/>
    <s v="Active"/>
    <n v="948000"/>
    <n v="970000"/>
  </r>
  <r>
    <x v="90"/>
    <x v="0"/>
    <s v="Software Engineer"/>
    <s v="Mid"/>
    <n v="771000"/>
    <n v="92000"/>
    <n v="22000"/>
    <s v="Active"/>
    <n v="863000"/>
    <n v="885000"/>
  </r>
  <r>
    <x v="91"/>
    <x v="0"/>
    <s v="Software Engineer"/>
    <s v="Mid"/>
    <n v="693000"/>
    <n v="77000"/>
    <n v="28000"/>
    <s v="Active"/>
    <n v="770000"/>
    <n v="798000"/>
  </r>
  <r>
    <x v="92"/>
    <x v="0"/>
    <s v="Software Engineer"/>
    <s v="Mid"/>
    <n v="672000"/>
    <n v="77000"/>
    <n v="20000"/>
    <s v="Active"/>
    <n v="749000"/>
    <n v="769000"/>
  </r>
  <r>
    <x v="93"/>
    <x v="0"/>
    <s v="Software Engineer"/>
    <s v="Mid"/>
    <n v="713000"/>
    <n v="87000"/>
    <n v="30000"/>
    <s v="Exit"/>
    <n v="800000"/>
    <n v="830000"/>
  </r>
  <r>
    <x v="94"/>
    <x v="0"/>
    <s v="DevOps Engineer"/>
    <s v="Mid"/>
    <n v="838000"/>
    <n v="110000"/>
    <n v="15000"/>
    <s v="Active"/>
    <n v="948000"/>
    <n v="963000"/>
  </r>
  <r>
    <x v="95"/>
    <x v="0"/>
    <s v="DevOps Engineer"/>
    <s v="Mid"/>
    <n v="836000"/>
    <n v="84000"/>
    <n v="28000"/>
    <s v="Active"/>
    <n v="920000"/>
    <n v="948000"/>
  </r>
  <r>
    <x v="96"/>
    <x v="0"/>
    <s v="Senior Software Engineer"/>
    <s v="Senior"/>
    <n v="1206000"/>
    <n v="161000"/>
    <n v="22000"/>
    <s v="Active"/>
    <n v="1367000"/>
    <n v="1389000"/>
  </r>
  <r>
    <x v="97"/>
    <x v="0"/>
    <s v="Software Engineer"/>
    <s v="Mid"/>
    <n v="725000"/>
    <n v="84000"/>
    <n v="30000"/>
    <s v="Active"/>
    <n v="809000"/>
    <n v="839000"/>
  </r>
  <r>
    <x v="98"/>
    <x v="0"/>
    <s v="DevOps Engineer"/>
    <s v="Mid"/>
    <n v="937000"/>
    <n v="130000"/>
    <n v="15000"/>
    <s v="Active"/>
    <n v="1067000"/>
    <n v="1082000"/>
  </r>
  <r>
    <x v="99"/>
    <x v="0"/>
    <s v="Data Engineer"/>
    <s v="Mid"/>
    <n v="941000"/>
    <n v="97000"/>
    <n v="30000"/>
    <s v="Active"/>
    <n v="1038000"/>
    <n v="1068000"/>
  </r>
  <r>
    <x v="100"/>
    <x v="0"/>
    <s v="Senior Software Engineer"/>
    <s v="Senior"/>
    <n v="1002000"/>
    <n v="115000"/>
    <n v="22000"/>
    <s v="Active"/>
    <n v="1117000"/>
    <n v="1139000"/>
  </r>
  <r>
    <x v="101"/>
    <x v="0"/>
    <s v="Senior Software Engineer"/>
    <s v="Senior"/>
    <n v="1203000"/>
    <n v="134000"/>
    <n v="30000"/>
    <s v="Active"/>
    <n v="1337000"/>
    <n v="1367000"/>
  </r>
  <r>
    <x v="102"/>
    <x v="0"/>
    <s v="Software Engineer"/>
    <s v="Mid"/>
    <n v="651000"/>
    <n v="79000"/>
    <n v="28000"/>
    <s v="Active"/>
    <n v="730000"/>
    <n v="758000"/>
  </r>
  <r>
    <x v="103"/>
    <x v="0"/>
    <s v="Software Engineer"/>
    <s v="Mid"/>
    <n v="800000"/>
    <n v="81000"/>
    <n v="15000"/>
    <s v="Active"/>
    <n v="881000"/>
    <n v="896000"/>
  </r>
  <r>
    <x v="104"/>
    <x v="0"/>
    <s v="Software Engineer"/>
    <s v="Mid"/>
    <n v="651000"/>
    <n v="69000"/>
    <n v="20000"/>
    <s v="Active"/>
    <n v="720000"/>
    <n v="740000"/>
  </r>
  <r>
    <x v="105"/>
    <x v="0"/>
    <s v="Software Engineer"/>
    <s v="Mid"/>
    <n v="798000"/>
    <n v="95000"/>
    <n v="25000"/>
    <s v="Active"/>
    <n v="893000"/>
    <n v="918000"/>
  </r>
  <r>
    <x v="106"/>
    <x v="0"/>
    <s v="Software Engineer"/>
    <s v="Mid"/>
    <n v="744000"/>
    <n v="97000"/>
    <n v="18000"/>
    <s v="Active"/>
    <n v="841000"/>
    <n v="859000"/>
  </r>
  <r>
    <x v="107"/>
    <x v="0"/>
    <s v="Software Engineer"/>
    <s v="Mid"/>
    <n v="697000"/>
    <n v="86000"/>
    <n v="25000"/>
    <s v="Active"/>
    <n v="783000"/>
    <n v="808000"/>
  </r>
  <r>
    <x v="108"/>
    <x v="0"/>
    <s v="QA Engineer"/>
    <s v="Mid"/>
    <n v="639000"/>
    <n v="88000"/>
    <n v="22000"/>
    <s v="Exit"/>
    <n v="727000"/>
    <n v="749000"/>
  </r>
  <r>
    <x v="109"/>
    <x v="0"/>
    <s v="Data Engineer"/>
    <s v="Mid"/>
    <n v="934000"/>
    <n v="97000"/>
    <n v="25000"/>
    <s v="Active"/>
    <n v="1031000"/>
    <n v="1056000"/>
  </r>
  <r>
    <x v="110"/>
    <x v="0"/>
    <s v="Data Engineer"/>
    <s v="Mid"/>
    <n v="834000"/>
    <n v="116000"/>
    <n v="15000"/>
    <s v="Active"/>
    <n v="950000"/>
    <n v="965000"/>
  </r>
  <r>
    <x v="111"/>
    <x v="0"/>
    <s v="Senior Software Engineer"/>
    <s v="Senior"/>
    <n v="1080000"/>
    <n v="130000"/>
    <n v="28000"/>
    <s v="Exit"/>
    <n v="1210000"/>
    <n v="1238000"/>
  </r>
  <r>
    <x v="112"/>
    <x v="0"/>
    <s v="Senior Software Engineer"/>
    <s v="Senior"/>
    <n v="1109000"/>
    <n v="130000"/>
    <n v="28000"/>
    <s v="Active"/>
    <n v="1239000"/>
    <n v="1267000"/>
  </r>
  <r>
    <x v="113"/>
    <x v="0"/>
    <s v="DevOps Engineer"/>
    <s v="Mid"/>
    <n v="897000"/>
    <n v="105000"/>
    <n v="25000"/>
    <s v="Active"/>
    <n v="1002000"/>
    <n v="1027000"/>
  </r>
  <r>
    <x v="114"/>
    <x v="0"/>
    <s v="QA Engineer"/>
    <s v="Mid"/>
    <n v="696000"/>
    <n v="83000"/>
    <n v="25000"/>
    <s v="Active"/>
    <n v="779000"/>
    <n v="804000"/>
  </r>
  <r>
    <x v="115"/>
    <x v="0"/>
    <s v="Software Engineer"/>
    <s v="Mid"/>
    <n v="796000"/>
    <n v="88000"/>
    <n v="35000"/>
    <s v="Active"/>
    <n v="884000"/>
    <n v="919000"/>
  </r>
  <r>
    <x v="116"/>
    <x v="0"/>
    <s v="Senior Software Engineer"/>
    <s v="Senior"/>
    <n v="1138000"/>
    <n v="131000"/>
    <n v="15000"/>
    <s v="Active"/>
    <n v="1269000"/>
    <n v="1284000"/>
  </r>
  <r>
    <x v="117"/>
    <x v="0"/>
    <s v="Senior Software Engineer"/>
    <s v="Senior"/>
    <n v="1108000"/>
    <n v="127000"/>
    <n v="25000"/>
    <s v="Active"/>
    <n v="1235000"/>
    <n v="1260000"/>
  </r>
  <r>
    <x v="118"/>
    <x v="0"/>
    <s v="QA Engineer"/>
    <s v="Mid"/>
    <n v="685000"/>
    <n v="76000"/>
    <n v="15000"/>
    <s v="Active"/>
    <n v="761000"/>
    <n v="776000"/>
  </r>
  <r>
    <x v="119"/>
    <x v="0"/>
    <s v="Software Engineer"/>
    <s v="Mid"/>
    <n v="686000"/>
    <n v="80000"/>
    <n v="22000"/>
    <s v="Active"/>
    <n v="766000"/>
    <n v="788000"/>
  </r>
  <r>
    <x v="120"/>
    <x v="0"/>
    <s v="Data Engineer"/>
    <s v="Mid"/>
    <n v="907000"/>
    <n v="119000"/>
    <n v="18000"/>
    <s v="Active"/>
    <n v="1026000"/>
    <n v="1044000"/>
  </r>
  <r>
    <x v="121"/>
    <x v="0"/>
    <s v="Senior Software Engineer"/>
    <s v="Senior"/>
    <n v="1049000"/>
    <n v="133000"/>
    <n v="28000"/>
    <s v="Active"/>
    <n v="1182000"/>
    <n v="1210000"/>
  </r>
  <r>
    <x v="122"/>
    <x v="0"/>
    <s v="Senior Software Engineer"/>
    <s v="Senior"/>
    <n v="1093000"/>
    <n v="142000"/>
    <n v="28000"/>
    <s v="Active"/>
    <n v="1235000"/>
    <n v="1263000"/>
  </r>
  <r>
    <x v="123"/>
    <x v="0"/>
    <s v="Senior Software Engineer"/>
    <s v="Senior"/>
    <n v="1064000"/>
    <n v="116000"/>
    <n v="22000"/>
    <s v="Active"/>
    <n v="1180000"/>
    <n v="1202000"/>
  </r>
  <r>
    <x v="124"/>
    <x v="0"/>
    <s v="DevOps Engineer"/>
    <s v="Mid"/>
    <n v="943000"/>
    <n v="120000"/>
    <n v="22000"/>
    <s v="Active"/>
    <n v="1063000"/>
    <n v="1085000"/>
  </r>
  <r>
    <x v="125"/>
    <x v="0"/>
    <s v="Senior Software Engineer"/>
    <s v="Senior"/>
    <n v="1165000"/>
    <n v="162000"/>
    <n v="25000"/>
    <s v="Active"/>
    <n v="1327000"/>
    <n v="1352000"/>
  </r>
  <r>
    <x v="126"/>
    <x v="0"/>
    <s v="DevOps Engineer"/>
    <s v="Mid"/>
    <n v="820000"/>
    <n v="94000"/>
    <n v="25000"/>
    <s v="Exit"/>
    <n v="914000"/>
    <n v="939000"/>
  </r>
  <r>
    <x v="127"/>
    <x v="0"/>
    <s v="Senior Software Engineer"/>
    <s v="Senior"/>
    <n v="1056000"/>
    <n v="147000"/>
    <n v="25000"/>
    <s v="Active"/>
    <n v="1203000"/>
    <n v="1228000"/>
  </r>
  <r>
    <x v="128"/>
    <x v="0"/>
    <s v="Software Engineer"/>
    <s v="Mid"/>
    <n v="786000"/>
    <n v="94000"/>
    <n v="15000"/>
    <s v="Active"/>
    <n v="880000"/>
    <n v="895000"/>
  </r>
  <r>
    <x v="129"/>
    <x v="0"/>
    <s v="Senior Software Engineer"/>
    <s v="Senior"/>
    <n v="1097000"/>
    <n v="118000"/>
    <n v="15000"/>
    <s v="Active"/>
    <n v="1215000"/>
    <n v="1230000"/>
  </r>
  <r>
    <x v="130"/>
    <x v="0"/>
    <s v="QA Engineer"/>
    <s v="Mid"/>
    <n v="601000"/>
    <n v="62000"/>
    <n v="35000"/>
    <s v="Exit"/>
    <n v="663000"/>
    <n v="698000"/>
  </r>
  <r>
    <x v="131"/>
    <x v="0"/>
    <s v="Data Engineer"/>
    <s v="Mid"/>
    <n v="821000"/>
    <n v="87000"/>
    <n v="25000"/>
    <s v="Active"/>
    <n v="908000"/>
    <n v="933000"/>
  </r>
  <r>
    <x v="132"/>
    <x v="0"/>
    <s v="Software Engineer"/>
    <s v="Mid"/>
    <n v="736000"/>
    <n v="86000"/>
    <n v="22000"/>
    <s v="Active"/>
    <n v="822000"/>
    <n v="844000"/>
  </r>
  <r>
    <x v="133"/>
    <x v="0"/>
    <s v="Senior Software Engineer"/>
    <s v="Senior"/>
    <n v="1210000"/>
    <n v="135000"/>
    <n v="30000"/>
    <s v="Active"/>
    <n v="1345000"/>
    <n v="1375000"/>
  </r>
  <r>
    <x v="134"/>
    <x v="0"/>
    <s v="Data Engineer"/>
    <s v="Mid"/>
    <n v="931000"/>
    <n v="121000"/>
    <n v="22000"/>
    <s v="Active"/>
    <n v="1052000"/>
    <n v="1074000"/>
  </r>
  <r>
    <x v="135"/>
    <x v="0"/>
    <s v="Software Engineer"/>
    <s v="Mid"/>
    <n v="661000"/>
    <n v="72000"/>
    <n v="18000"/>
    <s v="Active"/>
    <n v="733000"/>
    <n v="751000"/>
  </r>
  <r>
    <x v="136"/>
    <x v="0"/>
    <s v="Senior Software Engineer"/>
    <s v="Senior"/>
    <n v="1157000"/>
    <n v="137000"/>
    <n v="15000"/>
    <s v="Active"/>
    <n v="1294000"/>
    <n v="1309000"/>
  </r>
  <r>
    <x v="137"/>
    <x v="0"/>
    <s v="Data Engineer"/>
    <s v="Mid"/>
    <n v="949000"/>
    <n v="112000"/>
    <n v="22000"/>
    <s v="Active"/>
    <n v="1061000"/>
    <n v="1083000"/>
  </r>
  <r>
    <x v="138"/>
    <x v="0"/>
    <s v="DevOps Engineer"/>
    <s v="Mid"/>
    <n v="882000"/>
    <n v="112000"/>
    <n v="22000"/>
    <s v="Active"/>
    <n v="994000"/>
    <n v="1016000"/>
  </r>
  <r>
    <x v="139"/>
    <x v="0"/>
    <s v="Data Engineer"/>
    <s v="Mid"/>
    <n v="938000"/>
    <n v="128000"/>
    <n v="20000"/>
    <s v="Exit"/>
    <n v="1066000"/>
    <n v="1086000"/>
  </r>
  <r>
    <x v="140"/>
    <x v="0"/>
    <s v="Software Engineer"/>
    <s v="Mid"/>
    <n v="697000"/>
    <n v="91000"/>
    <n v="25000"/>
    <s v="Active"/>
    <n v="788000"/>
    <n v="813000"/>
  </r>
  <r>
    <x v="141"/>
    <x v="0"/>
    <s v="Senior Software Engineer"/>
    <s v="Senior"/>
    <n v="1064000"/>
    <n v="124000"/>
    <n v="25000"/>
    <s v="Active"/>
    <n v="1188000"/>
    <n v="1213000"/>
  </r>
  <r>
    <x v="142"/>
    <x v="0"/>
    <s v="Senior Software Engineer"/>
    <s v="Senior"/>
    <n v="1009000"/>
    <n v="103000"/>
    <n v="30000"/>
    <s v="Active"/>
    <n v="1112000"/>
    <n v="1142000"/>
  </r>
  <r>
    <x v="143"/>
    <x v="0"/>
    <s v="Data Engineer"/>
    <s v="Mid"/>
    <n v="815000"/>
    <n v="89000"/>
    <n v="15000"/>
    <s v="Active"/>
    <n v="904000"/>
    <n v="919000"/>
  </r>
  <r>
    <x v="144"/>
    <x v="0"/>
    <s v="Data Engineer"/>
    <s v="Mid"/>
    <n v="863000"/>
    <n v="88000"/>
    <n v="20000"/>
    <s v="Active"/>
    <n v="951000"/>
    <n v="971000"/>
  </r>
  <r>
    <x v="145"/>
    <x v="0"/>
    <s v="Data Engineer"/>
    <s v="Mid"/>
    <n v="991000"/>
    <n v="106000"/>
    <n v="30000"/>
    <s v="Active"/>
    <n v="1097000"/>
    <n v="1127000"/>
  </r>
  <r>
    <x v="146"/>
    <x v="0"/>
    <s v="Senior Software Engineer"/>
    <s v="Senior"/>
    <n v="1012000"/>
    <n v="115000"/>
    <n v="28000"/>
    <s v="Active"/>
    <n v="1127000"/>
    <n v="1155000"/>
  </r>
  <r>
    <x v="147"/>
    <x v="0"/>
    <s v="Software Engineer"/>
    <s v="Mid"/>
    <n v="673000"/>
    <n v="78000"/>
    <n v="35000"/>
    <s v="Active"/>
    <n v="751000"/>
    <n v="786000"/>
  </r>
  <r>
    <x v="148"/>
    <x v="0"/>
    <s v="QA Engineer"/>
    <s v="Mid"/>
    <n v="701000"/>
    <n v="86000"/>
    <n v="35000"/>
    <s v="Active"/>
    <n v="787000"/>
    <n v="822000"/>
  </r>
  <r>
    <x v="149"/>
    <x v="0"/>
    <s v="Software Engineer"/>
    <s v="Mid"/>
    <n v="666000"/>
    <n v="87000"/>
    <n v="15000"/>
    <s v="Active"/>
    <n v="753000"/>
    <n v="768000"/>
  </r>
  <r>
    <x v="150"/>
    <x v="1"/>
    <s v="Business Development Executive"/>
    <s v="Entry"/>
    <n v="644000"/>
    <n v="69000"/>
    <n v="28000"/>
    <s v="Active"/>
    <n v="713000"/>
    <n v="741000"/>
  </r>
  <r>
    <x v="151"/>
    <x v="1"/>
    <s v="Business Development Executive"/>
    <s v="Entry"/>
    <n v="648000"/>
    <n v="66000"/>
    <n v="25000"/>
    <s v="Active"/>
    <n v="714000"/>
    <n v="739000"/>
  </r>
  <r>
    <x v="152"/>
    <x v="1"/>
    <s v="Sales Manager"/>
    <s v="Leadership"/>
    <n v="1096000"/>
    <n v="140000"/>
    <n v="18000"/>
    <s v="Exit"/>
    <n v="1236000"/>
    <n v="1254000"/>
  </r>
  <r>
    <x v="153"/>
    <x v="1"/>
    <s v="Business Development Executive"/>
    <s v="Entry"/>
    <n v="699000"/>
    <n v="90000"/>
    <n v="25000"/>
    <s v="Active"/>
    <n v="789000"/>
    <n v="814000"/>
  </r>
  <r>
    <x v="154"/>
    <x v="1"/>
    <s v="Business Development Executive"/>
    <s v="Entry"/>
    <n v="598000"/>
    <n v="84000"/>
    <n v="18000"/>
    <s v="Active"/>
    <n v="682000"/>
    <n v="700000"/>
  </r>
  <r>
    <x v="155"/>
    <x v="1"/>
    <s v="Sales Executive"/>
    <s v="Entry"/>
    <n v="650000"/>
    <n v="78000"/>
    <n v="25000"/>
    <s v="Active"/>
    <n v="728000"/>
    <n v="753000"/>
  </r>
  <r>
    <x v="156"/>
    <x v="1"/>
    <s v="Sales Executive"/>
    <s v="Entry"/>
    <n v="650000"/>
    <n v="90000"/>
    <n v="22000"/>
    <s v="Active"/>
    <n v="740000"/>
    <n v="762000"/>
  </r>
  <r>
    <x v="157"/>
    <x v="1"/>
    <s v="Sales Executive"/>
    <s v="Entry"/>
    <n v="565000"/>
    <n v="70000"/>
    <n v="20000"/>
    <s v="Active"/>
    <n v="635000"/>
    <n v="655000"/>
  </r>
  <r>
    <x v="158"/>
    <x v="1"/>
    <s v="Sales Executive"/>
    <s v="Entry"/>
    <n v="644000"/>
    <n v="75000"/>
    <n v="25000"/>
    <s v="Active"/>
    <n v="719000"/>
    <n v="744000"/>
  </r>
  <r>
    <x v="159"/>
    <x v="1"/>
    <s v="Sales Executive"/>
    <s v="Entry"/>
    <n v="579000"/>
    <n v="71000"/>
    <n v="35000"/>
    <s v="Active"/>
    <n v="650000"/>
    <n v="685000"/>
  </r>
  <r>
    <x v="160"/>
    <x v="1"/>
    <s v="Business Development Executive"/>
    <s v="Entry"/>
    <n v="654000"/>
    <n v="74000"/>
    <n v="30000"/>
    <s v="Active"/>
    <n v="728000"/>
    <n v="758000"/>
  </r>
  <r>
    <x v="161"/>
    <x v="1"/>
    <s v="Sales Executive"/>
    <s v="Entry"/>
    <n v="565000"/>
    <n v="72000"/>
    <n v="30000"/>
    <s v="Active"/>
    <n v="637000"/>
    <n v="667000"/>
  </r>
  <r>
    <x v="162"/>
    <x v="1"/>
    <s v="Account Manager"/>
    <s v="Leadership"/>
    <n v="773000"/>
    <n v="100000"/>
    <n v="30000"/>
    <s v="Active"/>
    <n v="873000"/>
    <n v="903000"/>
  </r>
  <r>
    <x v="163"/>
    <x v="1"/>
    <s v="Account Manager"/>
    <s v="Leadership"/>
    <n v="918000"/>
    <n v="128000"/>
    <n v="35000"/>
    <s v="Active"/>
    <n v="1046000"/>
    <n v="1081000"/>
  </r>
  <r>
    <x v="164"/>
    <x v="1"/>
    <s v="Sales Executive"/>
    <s v="Entry"/>
    <n v="667000"/>
    <n v="76000"/>
    <n v="18000"/>
    <s v="Active"/>
    <n v="743000"/>
    <n v="761000"/>
  </r>
  <r>
    <x v="165"/>
    <x v="1"/>
    <s v="Business Development Executive"/>
    <s v="Entry"/>
    <n v="660000"/>
    <n v="78000"/>
    <n v="20000"/>
    <s v="Active"/>
    <n v="738000"/>
    <n v="758000"/>
  </r>
  <r>
    <x v="166"/>
    <x v="1"/>
    <s v="Account Manager"/>
    <s v="Leadership"/>
    <n v="794000"/>
    <n v="94000"/>
    <n v="25000"/>
    <s v="Active"/>
    <n v="888000"/>
    <n v="913000"/>
  </r>
  <r>
    <x v="167"/>
    <x v="1"/>
    <s v="Account Manager"/>
    <s v="Leadership"/>
    <n v="887000"/>
    <n v="119000"/>
    <n v="30000"/>
    <s v="Active"/>
    <n v="1006000"/>
    <n v="1036000"/>
  </r>
  <r>
    <x v="168"/>
    <x v="1"/>
    <s v="Business Development Executive"/>
    <s v="Entry"/>
    <n v="712000"/>
    <n v="85000"/>
    <n v="15000"/>
    <s v="Active"/>
    <n v="797000"/>
    <n v="812000"/>
  </r>
  <r>
    <x v="169"/>
    <x v="1"/>
    <s v="Sales Executive"/>
    <s v="Entry"/>
    <n v="630000"/>
    <n v="70000"/>
    <n v="22000"/>
    <s v="Active"/>
    <n v="700000"/>
    <n v="722000"/>
  </r>
  <r>
    <x v="170"/>
    <x v="1"/>
    <s v="Business Development Executive"/>
    <s v="Entry"/>
    <n v="599000"/>
    <n v="75000"/>
    <n v="18000"/>
    <s v="Active"/>
    <n v="674000"/>
    <n v="692000"/>
  </r>
  <r>
    <x v="171"/>
    <x v="1"/>
    <s v="Account Manager"/>
    <s v="Leadership"/>
    <n v="934000"/>
    <n v="95000"/>
    <n v="15000"/>
    <s v="Active"/>
    <n v="1029000"/>
    <n v="1044000"/>
  </r>
  <r>
    <x v="172"/>
    <x v="1"/>
    <s v="Sales Executive"/>
    <s v="Entry"/>
    <n v="559000"/>
    <n v="68000"/>
    <n v="20000"/>
    <s v="Active"/>
    <n v="627000"/>
    <n v="647000"/>
  </r>
  <r>
    <x v="173"/>
    <x v="1"/>
    <s v="Sales Executive"/>
    <s v="Entry"/>
    <n v="655000"/>
    <n v="82000"/>
    <n v="22000"/>
    <s v="Active"/>
    <n v="737000"/>
    <n v="759000"/>
  </r>
  <r>
    <x v="174"/>
    <x v="1"/>
    <s v="Business Development Executive"/>
    <s v="Entry"/>
    <n v="618000"/>
    <n v="78000"/>
    <n v="35000"/>
    <s v="Active"/>
    <n v="696000"/>
    <n v="731000"/>
  </r>
  <r>
    <x v="175"/>
    <x v="1"/>
    <s v="Sales Executive"/>
    <s v="Entry"/>
    <n v="646000"/>
    <n v="88000"/>
    <n v="20000"/>
    <s v="Exit"/>
    <n v="734000"/>
    <n v="754000"/>
  </r>
  <r>
    <x v="176"/>
    <x v="1"/>
    <s v="Sales Manager"/>
    <s v="Leadership"/>
    <n v="1229000"/>
    <n v="138000"/>
    <n v="30000"/>
    <s v="Active"/>
    <n v="1367000"/>
    <n v="1397000"/>
  </r>
  <r>
    <x v="177"/>
    <x v="1"/>
    <s v="Business Development Executive"/>
    <s v="Entry"/>
    <n v="628000"/>
    <n v="88000"/>
    <n v="35000"/>
    <s v="Active"/>
    <n v="716000"/>
    <n v="751000"/>
  </r>
  <r>
    <x v="178"/>
    <x v="1"/>
    <s v="Sales Executive"/>
    <s v="Entry"/>
    <n v="587000"/>
    <n v="66000"/>
    <n v="25000"/>
    <s v="Exit"/>
    <n v="653000"/>
    <n v="678000"/>
  </r>
  <r>
    <x v="179"/>
    <x v="1"/>
    <s v="Account Manager"/>
    <s v="Leadership"/>
    <n v="839000"/>
    <n v="84000"/>
    <n v="15000"/>
    <s v="Active"/>
    <n v="923000"/>
    <n v="938000"/>
  </r>
  <r>
    <x v="180"/>
    <x v="1"/>
    <s v="Account Manager"/>
    <s v="Leadership"/>
    <n v="921000"/>
    <n v="125000"/>
    <n v="22000"/>
    <s v="Active"/>
    <n v="1046000"/>
    <n v="1068000"/>
  </r>
  <r>
    <x v="181"/>
    <x v="1"/>
    <s v="Sales Executive"/>
    <s v="Entry"/>
    <n v="624000"/>
    <n v="78000"/>
    <n v="20000"/>
    <s v="Active"/>
    <n v="702000"/>
    <n v="722000"/>
  </r>
  <r>
    <x v="182"/>
    <x v="1"/>
    <s v="Sales Manager"/>
    <s v="Leadership"/>
    <n v="1146000"/>
    <n v="129000"/>
    <n v="35000"/>
    <s v="Exit"/>
    <n v="1275000"/>
    <n v="1310000"/>
  </r>
  <r>
    <x v="183"/>
    <x v="1"/>
    <s v="Sales Executive"/>
    <s v="Entry"/>
    <n v="557000"/>
    <n v="76000"/>
    <n v="28000"/>
    <s v="Active"/>
    <n v="633000"/>
    <n v="661000"/>
  </r>
  <r>
    <x v="184"/>
    <x v="1"/>
    <s v="Sales Executive"/>
    <s v="Entry"/>
    <n v="557000"/>
    <n v="68000"/>
    <n v="28000"/>
    <s v="Active"/>
    <n v="625000"/>
    <n v="653000"/>
  </r>
  <r>
    <x v="185"/>
    <x v="1"/>
    <s v="Sales Manager"/>
    <s v="Leadership"/>
    <n v="1191000"/>
    <n v="131000"/>
    <n v="35000"/>
    <s v="Active"/>
    <n v="1322000"/>
    <n v="1357000"/>
  </r>
  <r>
    <x v="186"/>
    <x v="1"/>
    <s v="Sales Executive"/>
    <s v="Entry"/>
    <n v="655000"/>
    <n v="87000"/>
    <n v="35000"/>
    <s v="Active"/>
    <n v="742000"/>
    <n v="777000"/>
  </r>
  <r>
    <x v="187"/>
    <x v="1"/>
    <s v="Sales Executive"/>
    <s v="Entry"/>
    <n v="668000"/>
    <n v="90000"/>
    <n v="30000"/>
    <s v="Active"/>
    <n v="758000"/>
    <n v="788000"/>
  </r>
  <r>
    <x v="188"/>
    <x v="1"/>
    <s v="Account Manager"/>
    <s v="Leadership"/>
    <n v="833000"/>
    <n v="110000"/>
    <n v="15000"/>
    <s v="Active"/>
    <n v="943000"/>
    <n v="958000"/>
  </r>
  <r>
    <x v="189"/>
    <x v="1"/>
    <s v="Sales Executive"/>
    <s v="Entry"/>
    <n v="589000"/>
    <n v="77000"/>
    <n v="25000"/>
    <s v="Active"/>
    <n v="666000"/>
    <n v="691000"/>
  </r>
  <r>
    <x v="190"/>
    <x v="1"/>
    <s v="Account Manager"/>
    <s v="Leadership"/>
    <n v="941000"/>
    <n v="98000"/>
    <n v="22000"/>
    <s v="Active"/>
    <n v="1039000"/>
    <n v="1061000"/>
  </r>
  <r>
    <x v="191"/>
    <x v="1"/>
    <s v="Business Development Executive"/>
    <s v="Entry"/>
    <n v="720000"/>
    <n v="81000"/>
    <n v="22000"/>
    <s v="Active"/>
    <n v="801000"/>
    <n v="823000"/>
  </r>
  <r>
    <x v="192"/>
    <x v="1"/>
    <s v="Business Development Executive"/>
    <s v="Entry"/>
    <n v="651000"/>
    <n v="83000"/>
    <n v="30000"/>
    <s v="Active"/>
    <n v="734000"/>
    <n v="764000"/>
  </r>
  <r>
    <x v="193"/>
    <x v="1"/>
    <s v="Sales Executive"/>
    <s v="Entry"/>
    <n v="545000"/>
    <n v="76000"/>
    <n v="18000"/>
    <s v="Active"/>
    <n v="621000"/>
    <n v="639000"/>
  </r>
  <r>
    <x v="194"/>
    <x v="1"/>
    <s v="Sales Manager"/>
    <s v="Leadership"/>
    <n v="1023000"/>
    <n v="121000"/>
    <n v="30000"/>
    <s v="Active"/>
    <n v="1144000"/>
    <n v="1174000"/>
  </r>
  <r>
    <x v="195"/>
    <x v="1"/>
    <s v="Account Manager"/>
    <s v="Leadership"/>
    <n v="931000"/>
    <n v="117000"/>
    <n v="35000"/>
    <s v="Active"/>
    <n v="1048000"/>
    <n v="1083000"/>
  </r>
  <r>
    <x v="196"/>
    <x v="1"/>
    <s v="Sales Manager"/>
    <s v="Leadership"/>
    <n v="1058000"/>
    <n v="135000"/>
    <n v="22000"/>
    <s v="Active"/>
    <n v="1193000"/>
    <n v="1215000"/>
  </r>
  <r>
    <x v="197"/>
    <x v="1"/>
    <s v="Sales Manager"/>
    <s v="Leadership"/>
    <n v="1197000"/>
    <n v="124000"/>
    <n v="28000"/>
    <s v="Active"/>
    <n v="1321000"/>
    <n v="1349000"/>
  </r>
  <r>
    <x v="198"/>
    <x v="1"/>
    <s v="Regional Sales Manager"/>
    <s v="Leadership"/>
    <n v="1224000"/>
    <n v="142000"/>
    <n v="22000"/>
    <s v="Active"/>
    <n v="1366000"/>
    <n v="1388000"/>
  </r>
  <r>
    <x v="199"/>
    <x v="1"/>
    <s v="Sales Manager"/>
    <s v="Leadership"/>
    <n v="1189000"/>
    <n v="123000"/>
    <n v="22000"/>
    <s v="Active"/>
    <n v="1312000"/>
    <n v="1334000"/>
  </r>
  <r>
    <x v="200"/>
    <x v="1"/>
    <s v="Business Development Executive"/>
    <s v="Entry"/>
    <n v="588000"/>
    <n v="77000"/>
    <n v="22000"/>
    <s v="Active"/>
    <n v="665000"/>
    <n v="687000"/>
  </r>
  <r>
    <x v="201"/>
    <x v="1"/>
    <s v="Account Manager"/>
    <s v="Leadership"/>
    <n v="803000"/>
    <n v="107000"/>
    <n v="22000"/>
    <s v="Active"/>
    <n v="910000"/>
    <n v="932000"/>
  </r>
  <r>
    <x v="202"/>
    <x v="1"/>
    <s v="Account Manager"/>
    <s v="Leadership"/>
    <n v="809000"/>
    <n v="106000"/>
    <n v="15000"/>
    <s v="Active"/>
    <n v="915000"/>
    <n v="930000"/>
  </r>
  <r>
    <x v="203"/>
    <x v="1"/>
    <s v="Regional Sales Manager"/>
    <s v="Leadership"/>
    <n v="1397000"/>
    <n v="170000"/>
    <n v="20000"/>
    <s v="Active"/>
    <n v="1567000"/>
    <n v="1587000"/>
  </r>
  <r>
    <x v="204"/>
    <x v="1"/>
    <s v="Sales Manager"/>
    <s v="Leadership"/>
    <n v="1022000"/>
    <n v="117000"/>
    <n v="22000"/>
    <s v="Active"/>
    <n v="1139000"/>
    <n v="1161000"/>
  </r>
  <r>
    <x v="205"/>
    <x v="1"/>
    <s v="Sales Executive"/>
    <s v="Entry"/>
    <n v="575000"/>
    <n v="60000"/>
    <n v="30000"/>
    <s v="Active"/>
    <n v="635000"/>
    <n v="665000"/>
  </r>
  <r>
    <x v="206"/>
    <x v="1"/>
    <s v="Account Manager"/>
    <s v="Leadership"/>
    <n v="854000"/>
    <n v="112000"/>
    <n v="18000"/>
    <s v="Active"/>
    <n v="966000"/>
    <n v="984000"/>
  </r>
  <r>
    <x v="207"/>
    <x v="1"/>
    <s v="Sales Executive"/>
    <s v="Entry"/>
    <n v="621000"/>
    <n v="80000"/>
    <n v="25000"/>
    <s v="Active"/>
    <n v="701000"/>
    <n v="726000"/>
  </r>
  <r>
    <x v="208"/>
    <x v="1"/>
    <s v="Regional Sales Manager"/>
    <s v="Leadership"/>
    <n v="1142000"/>
    <n v="136000"/>
    <n v="30000"/>
    <s v="Active"/>
    <n v="1278000"/>
    <n v="1308000"/>
  </r>
  <r>
    <x v="209"/>
    <x v="1"/>
    <s v="Sales Executive"/>
    <s v="Entry"/>
    <n v="634000"/>
    <n v="75000"/>
    <n v="18000"/>
    <s v="Active"/>
    <n v="709000"/>
    <n v="727000"/>
  </r>
  <r>
    <x v="210"/>
    <x v="1"/>
    <s v="Sales Executive"/>
    <s v="Entry"/>
    <n v="557000"/>
    <n v="70000"/>
    <n v="28000"/>
    <s v="Active"/>
    <n v="627000"/>
    <n v="655000"/>
  </r>
  <r>
    <x v="211"/>
    <x v="1"/>
    <s v="Business Development Executive"/>
    <s v="Entry"/>
    <n v="627000"/>
    <n v="75000"/>
    <n v="30000"/>
    <s v="Active"/>
    <n v="702000"/>
    <n v="732000"/>
  </r>
  <r>
    <x v="212"/>
    <x v="1"/>
    <s v="Account Manager"/>
    <s v="Leadership"/>
    <n v="924000"/>
    <n v="116000"/>
    <n v="22000"/>
    <s v="Active"/>
    <n v="1040000"/>
    <n v="1062000"/>
  </r>
  <r>
    <x v="213"/>
    <x v="1"/>
    <s v="Sales Manager"/>
    <s v="Leadership"/>
    <n v="1090000"/>
    <n v="145000"/>
    <n v="30000"/>
    <s v="Active"/>
    <n v="1235000"/>
    <n v="1265000"/>
  </r>
  <r>
    <x v="214"/>
    <x v="1"/>
    <s v="Sales Executive"/>
    <s v="Entry"/>
    <n v="596000"/>
    <n v="75000"/>
    <n v="28000"/>
    <s v="Active"/>
    <n v="671000"/>
    <n v="699000"/>
  </r>
  <r>
    <x v="215"/>
    <x v="1"/>
    <s v="Account Manager"/>
    <s v="Leadership"/>
    <n v="854000"/>
    <n v="89000"/>
    <n v="18000"/>
    <s v="Active"/>
    <n v="943000"/>
    <n v="961000"/>
  </r>
  <r>
    <x v="216"/>
    <x v="1"/>
    <s v="Sales Executive"/>
    <s v="Entry"/>
    <n v="638000"/>
    <n v="85000"/>
    <n v="15000"/>
    <s v="Active"/>
    <n v="723000"/>
    <n v="738000"/>
  </r>
  <r>
    <x v="217"/>
    <x v="1"/>
    <s v="Business Development Executive"/>
    <s v="Entry"/>
    <n v="632000"/>
    <n v="66000"/>
    <n v="28000"/>
    <s v="Active"/>
    <n v="698000"/>
    <n v="726000"/>
  </r>
  <r>
    <x v="218"/>
    <x v="1"/>
    <s v="Sales Manager"/>
    <s v="Leadership"/>
    <n v="1092000"/>
    <n v="149000"/>
    <n v="15000"/>
    <s v="Active"/>
    <n v="1241000"/>
    <n v="1256000"/>
  </r>
  <r>
    <x v="219"/>
    <x v="1"/>
    <s v="Business Development Executive"/>
    <s v="Entry"/>
    <n v="635000"/>
    <n v="78000"/>
    <n v="22000"/>
    <s v="Active"/>
    <n v="713000"/>
    <n v="735000"/>
  </r>
  <r>
    <x v="220"/>
    <x v="1"/>
    <s v="Business Development Executive"/>
    <s v="Entry"/>
    <n v="706000"/>
    <n v="80000"/>
    <n v="28000"/>
    <s v="Active"/>
    <n v="786000"/>
    <n v="814000"/>
  </r>
  <r>
    <x v="221"/>
    <x v="1"/>
    <s v="Sales Executive"/>
    <s v="Entry"/>
    <n v="570000"/>
    <n v="67000"/>
    <n v="15000"/>
    <s v="Active"/>
    <n v="637000"/>
    <n v="652000"/>
  </r>
  <r>
    <x v="222"/>
    <x v="1"/>
    <s v="Account Manager"/>
    <s v="Leadership"/>
    <n v="895000"/>
    <n v="91000"/>
    <n v="25000"/>
    <s v="Active"/>
    <n v="986000"/>
    <n v="1011000"/>
  </r>
  <r>
    <x v="223"/>
    <x v="1"/>
    <s v="Sales Executive"/>
    <s v="Entry"/>
    <n v="585000"/>
    <n v="59000"/>
    <n v="20000"/>
    <s v="Active"/>
    <n v="644000"/>
    <n v="664000"/>
  </r>
  <r>
    <x v="224"/>
    <x v="1"/>
    <s v="Sales Executive"/>
    <s v="Entry"/>
    <n v="559000"/>
    <n v="70000"/>
    <n v="15000"/>
    <s v="Active"/>
    <n v="629000"/>
    <n v="644000"/>
  </r>
  <r>
    <x v="225"/>
    <x v="1"/>
    <s v="Business Development Executive"/>
    <s v="Entry"/>
    <n v="639000"/>
    <n v="75000"/>
    <n v="20000"/>
    <s v="Active"/>
    <n v="714000"/>
    <n v="734000"/>
  </r>
  <r>
    <x v="226"/>
    <x v="1"/>
    <s v="Account Manager"/>
    <s v="Leadership"/>
    <n v="910000"/>
    <n v="112000"/>
    <n v="18000"/>
    <s v="Active"/>
    <n v="1022000"/>
    <n v="1040000"/>
  </r>
  <r>
    <x v="227"/>
    <x v="1"/>
    <s v="Sales Executive"/>
    <s v="Entry"/>
    <n v="640000"/>
    <n v="65000"/>
    <n v="18000"/>
    <s v="Active"/>
    <n v="705000"/>
    <n v="723000"/>
  </r>
  <r>
    <x v="228"/>
    <x v="1"/>
    <s v="Account Manager"/>
    <s v="Leadership"/>
    <n v="856000"/>
    <n v="101000"/>
    <n v="25000"/>
    <s v="Active"/>
    <n v="957000"/>
    <n v="982000"/>
  </r>
  <r>
    <x v="229"/>
    <x v="1"/>
    <s v="Business Development Executive"/>
    <s v="Entry"/>
    <n v="634000"/>
    <n v="66000"/>
    <n v="35000"/>
    <s v="Active"/>
    <n v="700000"/>
    <n v="735000"/>
  </r>
  <r>
    <x v="230"/>
    <x v="1"/>
    <s v="Sales Executive"/>
    <s v="Entry"/>
    <n v="569000"/>
    <n v="79000"/>
    <n v="15000"/>
    <s v="Exit"/>
    <n v="648000"/>
    <n v="663000"/>
  </r>
  <r>
    <x v="231"/>
    <x v="1"/>
    <s v="Sales Executive"/>
    <s v="Entry"/>
    <n v="568000"/>
    <n v="60000"/>
    <n v="25000"/>
    <s v="Active"/>
    <n v="628000"/>
    <n v="653000"/>
  </r>
  <r>
    <x v="232"/>
    <x v="1"/>
    <s v="Sales Executive"/>
    <s v="Entry"/>
    <n v="606000"/>
    <n v="71000"/>
    <n v="20000"/>
    <s v="Active"/>
    <n v="677000"/>
    <n v="697000"/>
  </r>
  <r>
    <x v="233"/>
    <x v="1"/>
    <s v="Account Manager"/>
    <s v="Leadership"/>
    <n v="859000"/>
    <n v="115000"/>
    <n v="28000"/>
    <s v="Exit"/>
    <n v="974000"/>
    <n v="1002000"/>
  </r>
  <r>
    <x v="234"/>
    <x v="1"/>
    <s v="Sales Manager"/>
    <s v="Leadership"/>
    <n v="1000000"/>
    <n v="101000"/>
    <n v="18000"/>
    <s v="Active"/>
    <n v="1101000"/>
    <n v="1119000"/>
  </r>
  <r>
    <x v="235"/>
    <x v="1"/>
    <s v="Business Development Executive"/>
    <s v="Entry"/>
    <n v="667000"/>
    <n v="86000"/>
    <n v="30000"/>
    <s v="Active"/>
    <n v="753000"/>
    <n v="783000"/>
  </r>
  <r>
    <x v="236"/>
    <x v="1"/>
    <s v="Sales Executive"/>
    <s v="Entry"/>
    <n v="668000"/>
    <n v="71000"/>
    <n v="35000"/>
    <s v="Active"/>
    <n v="739000"/>
    <n v="774000"/>
  </r>
  <r>
    <x v="237"/>
    <x v="1"/>
    <s v="Sales Manager"/>
    <s v="Leadership"/>
    <n v="1011000"/>
    <n v="135000"/>
    <n v="22000"/>
    <s v="Active"/>
    <n v="1146000"/>
    <n v="1168000"/>
  </r>
  <r>
    <x v="238"/>
    <x v="1"/>
    <s v="Sales Executive"/>
    <s v="Entry"/>
    <n v="550000"/>
    <n v="74000"/>
    <n v="28000"/>
    <s v="Active"/>
    <n v="624000"/>
    <n v="652000"/>
  </r>
  <r>
    <x v="239"/>
    <x v="1"/>
    <s v="Account Manager"/>
    <s v="Leadership"/>
    <n v="779000"/>
    <n v="98000"/>
    <n v="22000"/>
    <s v="Active"/>
    <n v="877000"/>
    <n v="899000"/>
  </r>
  <r>
    <x v="240"/>
    <x v="1"/>
    <s v="Sales Executive"/>
    <s v="Entry"/>
    <n v="636000"/>
    <n v="84000"/>
    <n v="20000"/>
    <s v="Active"/>
    <n v="720000"/>
    <n v="740000"/>
  </r>
  <r>
    <x v="241"/>
    <x v="1"/>
    <s v="Sales Executive"/>
    <s v="Entry"/>
    <n v="566000"/>
    <n v="70000"/>
    <n v="18000"/>
    <s v="Active"/>
    <n v="636000"/>
    <n v="654000"/>
  </r>
  <r>
    <x v="242"/>
    <x v="1"/>
    <s v="Account Manager"/>
    <s v="Leadership"/>
    <n v="857000"/>
    <n v="112000"/>
    <n v="35000"/>
    <s v="Active"/>
    <n v="969000"/>
    <n v="1004000"/>
  </r>
  <r>
    <x v="243"/>
    <x v="1"/>
    <s v="Sales Manager"/>
    <s v="Leadership"/>
    <n v="1146000"/>
    <n v="160000"/>
    <n v="28000"/>
    <s v="Active"/>
    <n v="1306000"/>
    <n v="1334000"/>
  </r>
  <r>
    <x v="244"/>
    <x v="1"/>
    <s v="Business Development Executive"/>
    <s v="Entry"/>
    <n v="607000"/>
    <n v="62000"/>
    <n v="35000"/>
    <s v="Active"/>
    <n v="669000"/>
    <n v="704000"/>
  </r>
  <r>
    <x v="245"/>
    <x v="1"/>
    <s v="Account Manager"/>
    <s v="Leadership"/>
    <n v="876000"/>
    <n v="100000"/>
    <n v="18000"/>
    <s v="Active"/>
    <n v="976000"/>
    <n v="994000"/>
  </r>
  <r>
    <x v="246"/>
    <x v="1"/>
    <s v="Business Development Executive"/>
    <s v="Entry"/>
    <n v="593000"/>
    <n v="79000"/>
    <n v="18000"/>
    <s v="Active"/>
    <n v="672000"/>
    <n v="690000"/>
  </r>
  <r>
    <x v="247"/>
    <x v="1"/>
    <s v="Regional Sales Manager"/>
    <s v="Leadership"/>
    <n v="1150000"/>
    <n v="142000"/>
    <n v="30000"/>
    <s v="Active"/>
    <n v="1292000"/>
    <n v="1322000"/>
  </r>
  <r>
    <x v="248"/>
    <x v="1"/>
    <s v="Business Development Executive"/>
    <s v="Entry"/>
    <n v="698000"/>
    <n v="95000"/>
    <n v="35000"/>
    <s v="Active"/>
    <n v="793000"/>
    <n v="828000"/>
  </r>
  <r>
    <x v="249"/>
    <x v="1"/>
    <s v="Business Development Executive"/>
    <s v="Entry"/>
    <n v="612000"/>
    <n v="76000"/>
    <n v="20000"/>
    <s v="Active"/>
    <n v="688000"/>
    <n v="708000"/>
  </r>
  <r>
    <x v="250"/>
    <x v="2"/>
    <s v="Senior Financial Analyst"/>
    <s v="Senior"/>
    <n v="1024000"/>
    <n v="137000"/>
    <n v="18000"/>
    <s v="Active"/>
    <n v="1161000"/>
    <n v="1179000"/>
  </r>
  <r>
    <x v="251"/>
    <x v="2"/>
    <s v="Financial Analyst"/>
    <s v="Mid"/>
    <n v="620000"/>
    <n v="73000"/>
    <n v="35000"/>
    <s v="Active"/>
    <n v="693000"/>
    <n v="728000"/>
  </r>
  <r>
    <x v="252"/>
    <x v="2"/>
    <s v="Accountant"/>
    <s v="Entry"/>
    <n v="588000"/>
    <n v="80000"/>
    <n v="30000"/>
    <s v="Active"/>
    <n v="668000"/>
    <n v="698000"/>
  </r>
  <r>
    <x v="253"/>
    <x v="2"/>
    <s v="Senior Financial Analyst"/>
    <s v="Senior"/>
    <n v="980000"/>
    <n v="129000"/>
    <n v="28000"/>
    <s v="Exit"/>
    <n v="1109000"/>
    <n v="1137000"/>
  </r>
  <r>
    <x v="254"/>
    <x v="2"/>
    <s v="Financial Analyst"/>
    <s v="Mid"/>
    <n v="682000"/>
    <n v="76000"/>
    <n v="20000"/>
    <s v="Active"/>
    <n v="758000"/>
    <n v="778000"/>
  </r>
  <r>
    <x v="255"/>
    <x v="2"/>
    <s v="Accountant"/>
    <s v="Entry"/>
    <n v="559000"/>
    <n v="64000"/>
    <n v="30000"/>
    <s v="Active"/>
    <n v="623000"/>
    <n v="653000"/>
  </r>
  <r>
    <x v="256"/>
    <x v="2"/>
    <s v="Accountant"/>
    <s v="Entry"/>
    <n v="551000"/>
    <n v="67000"/>
    <n v="28000"/>
    <s v="Active"/>
    <n v="618000"/>
    <n v="646000"/>
  </r>
  <r>
    <x v="257"/>
    <x v="2"/>
    <s v="Accountant"/>
    <s v="Entry"/>
    <n v="649000"/>
    <n v="84000"/>
    <n v="18000"/>
    <s v="Active"/>
    <n v="733000"/>
    <n v="751000"/>
  </r>
  <r>
    <x v="258"/>
    <x v="2"/>
    <s v="Senior Financial Analyst"/>
    <s v="Senior"/>
    <n v="931000"/>
    <n v="107000"/>
    <n v="20000"/>
    <s v="Active"/>
    <n v="1038000"/>
    <n v="1058000"/>
  </r>
  <r>
    <x v="259"/>
    <x v="2"/>
    <s v="Senior Financial Analyst"/>
    <s v="Senior"/>
    <n v="1015000"/>
    <n v="109000"/>
    <n v="20000"/>
    <s v="Active"/>
    <n v="1124000"/>
    <n v="1144000"/>
  </r>
  <r>
    <x v="260"/>
    <x v="2"/>
    <s v="Financial Analyst"/>
    <s v="Mid"/>
    <n v="698000"/>
    <n v="84000"/>
    <n v="15000"/>
    <s v="Active"/>
    <n v="782000"/>
    <n v="797000"/>
  </r>
  <r>
    <x v="261"/>
    <x v="2"/>
    <s v="FP&amp;A Analyst"/>
    <s v="Mid"/>
    <n v="808000"/>
    <n v="100000"/>
    <n v="20000"/>
    <s v="Active"/>
    <n v="908000"/>
    <n v="928000"/>
  </r>
  <r>
    <x v="262"/>
    <x v="2"/>
    <s v="Senior Accountant"/>
    <s v="Senior"/>
    <n v="909000"/>
    <n v="120000"/>
    <n v="20000"/>
    <s v="Active"/>
    <n v="1029000"/>
    <n v="1049000"/>
  </r>
  <r>
    <x v="263"/>
    <x v="2"/>
    <s v="Financial Analyst"/>
    <s v="Mid"/>
    <n v="637000"/>
    <n v="82000"/>
    <n v="35000"/>
    <s v="Active"/>
    <n v="719000"/>
    <n v="754000"/>
  </r>
  <r>
    <x v="264"/>
    <x v="2"/>
    <s v="Senior Accountant"/>
    <s v="Senior"/>
    <n v="912000"/>
    <n v="100000"/>
    <n v="22000"/>
    <s v="Active"/>
    <n v="1012000"/>
    <n v="1034000"/>
  </r>
  <r>
    <x v="265"/>
    <x v="2"/>
    <s v="Senior Accountant"/>
    <s v="Senior"/>
    <n v="853000"/>
    <n v="114000"/>
    <n v="28000"/>
    <s v="Active"/>
    <n v="967000"/>
    <n v="995000"/>
  </r>
  <r>
    <x v="266"/>
    <x v="2"/>
    <s v="Accountant"/>
    <s v="Entry"/>
    <n v="598000"/>
    <n v="78000"/>
    <n v="30000"/>
    <s v="Active"/>
    <n v="676000"/>
    <n v="706000"/>
  </r>
  <r>
    <x v="267"/>
    <x v="2"/>
    <s v="Senior Financial Analyst"/>
    <s v="Senior"/>
    <n v="889000"/>
    <n v="96000"/>
    <n v="20000"/>
    <s v="Active"/>
    <n v="985000"/>
    <n v="1005000"/>
  </r>
  <r>
    <x v="268"/>
    <x v="2"/>
    <s v="Financial Analyst"/>
    <s v="Mid"/>
    <n v="654000"/>
    <n v="75000"/>
    <n v="18000"/>
    <s v="Active"/>
    <n v="729000"/>
    <n v="747000"/>
  </r>
  <r>
    <x v="269"/>
    <x v="2"/>
    <s v="Accountant"/>
    <s v="Entry"/>
    <n v="556000"/>
    <n v="57000"/>
    <n v="20000"/>
    <s v="Active"/>
    <n v="613000"/>
    <n v="633000"/>
  </r>
  <r>
    <x v="270"/>
    <x v="2"/>
    <s v="FP&amp;A Analyst"/>
    <s v="Mid"/>
    <n v="727000"/>
    <n v="85000"/>
    <n v="22000"/>
    <s v="Active"/>
    <n v="812000"/>
    <n v="834000"/>
  </r>
  <r>
    <x v="271"/>
    <x v="2"/>
    <s v="FP&amp;A Analyst"/>
    <s v="Mid"/>
    <n v="862000"/>
    <n v="101000"/>
    <n v="30000"/>
    <s v="Active"/>
    <n v="963000"/>
    <n v="993000"/>
  </r>
  <r>
    <x v="272"/>
    <x v="2"/>
    <s v="Financial Analyst"/>
    <s v="Mid"/>
    <n v="727000"/>
    <n v="84000"/>
    <n v="15000"/>
    <s v="Active"/>
    <n v="811000"/>
    <n v="826000"/>
  </r>
  <r>
    <x v="273"/>
    <x v="2"/>
    <s v="Financial Analyst"/>
    <s v="Mid"/>
    <n v="687000"/>
    <n v="78000"/>
    <n v="20000"/>
    <s v="Active"/>
    <n v="765000"/>
    <n v="785000"/>
  </r>
  <r>
    <x v="274"/>
    <x v="2"/>
    <s v="Financial Analyst"/>
    <s v="Mid"/>
    <n v="704000"/>
    <n v="90000"/>
    <n v="20000"/>
    <s v="Active"/>
    <n v="794000"/>
    <n v="814000"/>
  </r>
  <r>
    <x v="275"/>
    <x v="2"/>
    <s v="Accountant"/>
    <s v="Entry"/>
    <n v="621000"/>
    <n v="85000"/>
    <n v="15000"/>
    <s v="Active"/>
    <n v="706000"/>
    <n v="721000"/>
  </r>
  <r>
    <x v="276"/>
    <x v="2"/>
    <s v="Senior Accountant"/>
    <s v="Senior"/>
    <n v="868000"/>
    <n v="112000"/>
    <n v="30000"/>
    <s v="Active"/>
    <n v="980000"/>
    <n v="1010000"/>
  </r>
  <r>
    <x v="277"/>
    <x v="2"/>
    <s v="Financial Analyst"/>
    <s v="Mid"/>
    <n v="628000"/>
    <n v="64000"/>
    <n v="30000"/>
    <s v="Active"/>
    <n v="692000"/>
    <n v="722000"/>
  </r>
  <r>
    <x v="278"/>
    <x v="2"/>
    <s v="Accountant"/>
    <s v="Entry"/>
    <n v="548000"/>
    <n v="73000"/>
    <n v="35000"/>
    <s v="Active"/>
    <n v="621000"/>
    <n v="656000"/>
  </r>
  <r>
    <x v="279"/>
    <x v="2"/>
    <s v="Financial Analyst"/>
    <s v="Mid"/>
    <n v="659000"/>
    <n v="72000"/>
    <n v="20000"/>
    <s v="Active"/>
    <n v="731000"/>
    <n v="751000"/>
  </r>
  <r>
    <x v="280"/>
    <x v="2"/>
    <s v="Financial Analyst"/>
    <s v="Mid"/>
    <n v="635000"/>
    <n v="78000"/>
    <n v="20000"/>
    <s v="Active"/>
    <n v="713000"/>
    <n v="733000"/>
  </r>
  <r>
    <x v="281"/>
    <x v="2"/>
    <s v="Financial Analyst"/>
    <s v="Mid"/>
    <n v="724000"/>
    <n v="74000"/>
    <n v="15000"/>
    <s v="Active"/>
    <n v="798000"/>
    <n v="813000"/>
  </r>
  <r>
    <x v="282"/>
    <x v="2"/>
    <s v="Accountant"/>
    <s v="Entry"/>
    <n v="624000"/>
    <n v="87000"/>
    <n v="25000"/>
    <s v="Active"/>
    <n v="711000"/>
    <n v="736000"/>
  </r>
  <r>
    <x v="283"/>
    <x v="2"/>
    <s v="Senior Financial Analyst"/>
    <s v="Senior"/>
    <n v="869000"/>
    <n v="95000"/>
    <n v="18000"/>
    <s v="Active"/>
    <n v="964000"/>
    <n v="982000"/>
  </r>
  <r>
    <x v="284"/>
    <x v="2"/>
    <s v="Senior Accountant"/>
    <s v="Senior"/>
    <n v="827000"/>
    <n v="84000"/>
    <n v="28000"/>
    <s v="Active"/>
    <n v="911000"/>
    <n v="939000"/>
  </r>
  <r>
    <x v="285"/>
    <x v="2"/>
    <s v="Financial Analyst"/>
    <s v="Mid"/>
    <n v="696000"/>
    <n v="83000"/>
    <n v="35000"/>
    <s v="Active"/>
    <n v="779000"/>
    <n v="814000"/>
  </r>
  <r>
    <x v="286"/>
    <x v="2"/>
    <s v="Senior Accountant"/>
    <s v="Senior"/>
    <n v="777000"/>
    <n v="102000"/>
    <n v="35000"/>
    <s v="Exit"/>
    <n v="879000"/>
    <n v="914000"/>
  </r>
  <r>
    <x v="287"/>
    <x v="2"/>
    <s v="Financial Analyst"/>
    <s v="Mid"/>
    <n v="698000"/>
    <n v="95000"/>
    <n v="28000"/>
    <s v="Active"/>
    <n v="793000"/>
    <n v="821000"/>
  </r>
  <r>
    <x v="288"/>
    <x v="2"/>
    <s v="Accountant"/>
    <s v="Entry"/>
    <n v="671000"/>
    <n v="82000"/>
    <n v="25000"/>
    <s v="Exit"/>
    <n v="753000"/>
    <n v="778000"/>
  </r>
  <r>
    <x v="289"/>
    <x v="2"/>
    <s v="Accountant"/>
    <s v="Entry"/>
    <n v="578000"/>
    <n v="78000"/>
    <n v="15000"/>
    <s v="Active"/>
    <n v="656000"/>
    <n v="671000"/>
  </r>
  <r>
    <x v="290"/>
    <x v="2"/>
    <s v="Senior Financial Analyst"/>
    <s v="Senior"/>
    <n v="881000"/>
    <n v="101000"/>
    <n v="30000"/>
    <s v="Active"/>
    <n v="982000"/>
    <n v="1012000"/>
  </r>
  <r>
    <x v="291"/>
    <x v="2"/>
    <s v="FP&amp;A Analyst"/>
    <s v="Mid"/>
    <n v="768000"/>
    <n v="107000"/>
    <n v="35000"/>
    <s v="Active"/>
    <n v="875000"/>
    <n v="910000"/>
  </r>
  <r>
    <x v="292"/>
    <x v="2"/>
    <s v="Senior Financial Analyst"/>
    <s v="Senior"/>
    <n v="1022000"/>
    <n v="113000"/>
    <n v="18000"/>
    <s v="Active"/>
    <n v="1135000"/>
    <n v="1153000"/>
  </r>
  <r>
    <x v="293"/>
    <x v="2"/>
    <s v="Financial Analyst"/>
    <s v="Mid"/>
    <n v="671000"/>
    <n v="89000"/>
    <n v="25000"/>
    <s v="Active"/>
    <n v="760000"/>
    <n v="785000"/>
  </r>
  <r>
    <x v="294"/>
    <x v="2"/>
    <s v="Financial Analyst"/>
    <s v="Mid"/>
    <n v="680000"/>
    <n v="76000"/>
    <n v="30000"/>
    <s v="Active"/>
    <n v="756000"/>
    <n v="786000"/>
  </r>
  <r>
    <x v="295"/>
    <x v="2"/>
    <s v="Senior Financial Analyst"/>
    <s v="Senior"/>
    <n v="948000"/>
    <n v="122000"/>
    <n v="28000"/>
    <s v="Active"/>
    <n v="1070000"/>
    <n v="1098000"/>
  </r>
  <r>
    <x v="296"/>
    <x v="2"/>
    <s v="Senior Financial Analyst"/>
    <s v="Senior"/>
    <n v="989000"/>
    <n v="130000"/>
    <n v="15000"/>
    <s v="Exit"/>
    <n v="1119000"/>
    <n v="1134000"/>
  </r>
  <r>
    <x v="297"/>
    <x v="2"/>
    <s v="Accountant"/>
    <s v="Entry"/>
    <n v="588000"/>
    <n v="78000"/>
    <n v="20000"/>
    <s v="Active"/>
    <n v="666000"/>
    <n v="686000"/>
  </r>
  <r>
    <x v="298"/>
    <x v="2"/>
    <s v="Financial Analyst"/>
    <s v="Mid"/>
    <n v="672000"/>
    <n v="88000"/>
    <n v="15000"/>
    <s v="Active"/>
    <n v="760000"/>
    <n v="775000"/>
  </r>
  <r>
    <x v="299"/>
    <x v="2"/>
    <s v="Financial Analyst"/>
    <s v="Mid"/>
    <n v="677000"/>
    <n v="78000"/>
    <n v="15000"/>
    <s v="Active"/>
    <n v="755000"/>
    <n v="770000"/>
  </r>
  <r>
    <x v="300"/>
    <x v="2"/>
    <s v="Accountant"/>
    <s v="Entry"/>
    <n v="665000"/>
    <n v="76000"/>
    <n v="18000"/>
    <s v="Active"/>
    <n v="741000"/>
    <n v="759000"/>
  </r>
  <r>
    <x v="301"/>
    <x v="2"/>
    <s v="Accountant"/>
    <s v="Entry"/>
    <n v="593000"/>
    <n v="75000"/>
    <n v="22000"/>
    <s v="Active"/>
    <n v="668000"/>
    <n v="690000"/>
  </r>
  <r>
    <x v="302"/>
    <x v="2"/>
    <s v="Financial Analyst"/>
    <s v="Mid"/>
    <n v="612000"/>
    <n v="74000"/>
    <n v="18000"/>
    <s v="Active"/>
    <n v="686000"/>
    <n v="704000"/>
  </r>
  <r>
    <x v="303"/>
    <x v="2"/>
    <s v="Financial Analyst"/>
    <s v="Mid"/>
    <n v="649000"/>
    <n v="91000"/>
    <n v="25000"/>
    <s v="Active"/>
    <n v="740000"/>
    <n v="765000"/>
  </r>
  <r>
    <x v="304"/>
    <x v="2"/>
    <s v="Finance Manager"/>
    <s v="Leadership"/>
    <n v="1180000"/>
    <n v="124000"/>
    <n v="18000"/>
    <s v="Active"/>
    <n v="1304000"/>
    <n v="1322000"/>
  </r>
  <r>
    <x v="305"/>
    <x v="2"/>
    <s v="FP&amp;A Analyst"/>
    <s v="Mid"/>
    <n v="778000"/>
    <n v="81000"/>
    <n v="28000"/>
    <s v="Active"/>
    <n v="859000"/>
    <n v="887000"/>
  </r>
  <r>
    <x v="306"/>
    <x v="2"/>
    <s v="Accountant"/>
    <s v="Entry"/>
    <n v="613000"/>
    <n v="68000"/>
    <n v="25000"/>
    <s v="Active"/>
    <n v="681000"/>
    <n v="706000"/>
  </r>
  <r>
    <x v="307"/>
    <x v="2"/>
    <s v="Accountant"/>
    <s v="Entry"/>
    <n v="662000"/>
    <n v="83000"/>
    <n v="28000"/>
    <s v="Active"/>
    <n v="745000"/>
    <n v="773000"/>
  </r>
  <r>
    <x v="308"/>
    <x v="2"/>
    <s v="Financial Analyst"/>
    <s v="Mid"/>
    <n v="614000"/>
    <n v="65000"/>
    <n v="35000"/>
    <s v="Exit"/>
    <n v="679000"/>
    <n v="714000"/>
  </r>
  <r>
    <x v="309"/>
    <x v="2"/>
    <s v="Accountant"/>
    <s v="Entry"/>
    <n v="589000"/>
    <n v="78000"/>
    <n v="20000"/>
    <s v="Active"/>
    <n v="667000"/>
    <n v="687000"/>
  </r>
  <r>
    <x v="310"/>
    <x v="2"/>
    <s v="Financial Analyst"/>
    <s v="Mid"/>
    <n v="629000"/>
    <n v="88000"/>
    <n v="35000"/>
    <s v="Active"/>
    <n v="717000"/>
    <n v="752000"/>
  </r>
  <r>
    <x v="311"/>
    <x v="2"/>
    <s v="Senior Accountant"/>
    <s v="Senior"/>
    <n v="919000"/>
    <n v="95000"/>
    <n v="28000"/>
    <s v="Active"/>
    <n v="1014000"/>
    <n v="1042000"/>
  </r>
  <r>
    <x v="312"/>
    <x v="2"/>
    <s v="Senior Financial Analyst"/>
    <s v="Senior"/>
    <n v="997000"/>
    <n v="113000"/>
    <n v="20000"/>
    <s v="Active"/>
    <n v="1110000"/>
    <n v="1130000"/>
  </r>
  <r>
    <x v="313"/>
    <x v="2"/>
    <s v="Financial Analyst"/>
    <s v="Mid"/>
    <n v="657000"/>
    <n v="89000"/>
    <n v="18000"/>
    <s v="Active"/>
    <n v="746000"/>
    <n v="764000"/>
  </r>
  <r>
    <x v="314"/>
    <x v="2"/>
    <s v="Financial Analyst"/>
    <s v="Mid"/>
    <n v="608000"/>
    <n v="84000"/>
    <n v="22000"/>
    <s v="Active"/>
    <n v="692000"/>
    <n v="714000"/>
  </r>
  <r>
    <x v="315"/>
    <x v="2"/>
    <s v="FP&amp;A Analyst"/>
    <s v="Mid"/>
    <n v="856000"/>
    <n v="115000"/>
    <n v="25000"/>
    <s v="Active"/>
    <n v="971000"/>
    <n v="996000"/>
  </r>
  <r>
    <x v="316"/>
    <x v="2"/>
    <s v="Finance Manager"/>
    <s v="Leadership"/>
    <n v="1200000"/>
    <n v="150000"/>
    <n v="18000"/>
    <s v="Active"/>
    <n v="1350000"/>
    <n v="1368000"/>
  </r>
  <r>
    <x v="317"/>
    <x v="2"/>
    <s v="Financial Analyst"/>
    <s v="Mid"/>
    <n v="720000"/>
    <n v="76000"/>
    <n v="28000"/>
    <s v="Active"/>
    <n v="796000"/>
    <n v="824000"/>
  </r>
  <r>
    <x v="318"/>
    <x v="2"/>
    <s v="Accountant"/>
    <s v="Entry"/>
    <n v="649000"/>
    <n v="66000"/>
    <n v="15000"/>
    <s v="Active"/>
    <n v="715000"/>
    <n v="730000"/>
  </r>
  <r>
    <x v="319"/>
    <x v="2"/>
    <s v="Senior Accountant"/>
    <s v="Senior"/>
    <n v="814000"/>
    <n v="88000"/>
    <n v="30000"/>
    <s v="Active"/>
    <n v="902000"/>
    <n v="932000"/>
  </r>
  <r>
    <x v="320"/>
    <x v="2"/>
    <s v="Financial Analyst"/>
    <s v="Mid"/>
    <n v="712000"/>
    <n v="87000"/>
    <n v="25000"/>
    <s v="Active"/>
    <n v="799000"/>
    <n v="824000"/>
  </r>
  <r>
    <x v="321"/>
    <x v="2"/>
    <s v="Senior Accountant"/>
    <s v="Senior"/>
    <n v="893000"/>
    <n v="100000"/>
    <n v="18000"/>
    <s v="Active"/>
    <n v="993000"/>
    <n v="1011000"/>
  </r>
  <r>
    <x v="322"/>
    <x v="2"/>
    <s v="Financial Analyst"/>
    <s v="Mid"/>
    <n v="644000"/>
    <n v="76000"/>
    <n v="28000"/>
    <s v="Active"/>
    <n v="720000"/>
    <n v="748000"/>
  </r>
  <r>
    <x v="323"/>
    <x v="2"/>
    <s v="Financial Analyst"/>
    <s v="Mid"/>
    <n v="688000"/>
    <n v="89000"/>
    <n v="28000"/>
    <s v="Active"/>
    <n v="777000"/>
    <n v="805000"/>
  </r>
  <r>
    <x v="324"/>
    <x v="2"/>
    <s v="Financial Analyst"/>
    <s v="Mid"/>
    <n v="638000"/>
    <n v="78000"/>
    <n v="28000"/>
    <s v="Active"/>
    <n v="716000"/>
    <n v="744000"/>
  </r>
  <r>
    <x v="325"/>
    <x v="3"/>
    <s v="HR Executive"/>
    <s v="Entry"/>
    <n v="549000"/>
    <n v="58000"/>
    <n v="15000"/>
    <s v="Active"/>
    <n v="607000"/>
    <n v="622000"/>
  </r>
  <r>
    <x v="326"/>
    <x v="3"/>
    <s v="Talent Acquisition Specialist"/>
    <s v="Mid"/>
    <n v="673000"/>
    <n v="74000"/>
    <n v="20000"/>
    <s v="Active"/>
    <n v="747000"/>
    <n v="767000"/>
  </r>
  <r>
    <x v="327"/>
    <x v="3"/>
    <s v="HR Business Partner"/>
    <s v="Mid"/>
    <n v="1006000"/>
    <n v="108000"/>
    <n v="20000"/>
    <s v="Active"/>
    <n v="1114000"/>
    <n v="1134000"/>
  </r>
  <r>
    <x v="328"/>
    <x v="3"/>
    <s v="Talent Acquisition Specialist"/>
    <s v="Mid"/>
    <n v="656000"/>
    <n v="74000"/>
    <n v="15000"/>
    <s v="Active"/>
    <n v="730000"/>
    <n v="745000"/>
  </r>
  <r>
    <x v="329"/>
    <x v="3"/>
    <s v="Talent Acquisition Specialist"/>
    <s v="Mid"/>
    <n v="650000"/>
    <n v="71000"/>
    <n v="28000"/>
    <s v="Exit"/>
    <n v="721000"/>
    <n v="749000"/>
  </r>
  <r>
    <x v="330"/>
    <x v="3"/>
    <s v="HR Executive"/>
    <s v="Entry"/>
    <n v="567000"/>
    <n v="76000"/>
    <n v="35000"/>
    <s v="Active"/>
    <n v="643000"/>
    <n v="678000"/>
  </r>
  <r>
    <x v="331"/>
    <x v="3"/>
    <s v="HR Executive"/>
    <s v="Entry"/>
    <n v="508000"/>
    <n v="54000"/>
    <n v="25000"/>
    <s v="Active"/>
    <n v="562000"/>
    <n v="587000"/>
  </r>
  <r>
    <x v="332"/>
    <x v="3"/>
    <s v="HR Operations Executive"/>
    <s v="Entry"/>
    <n v="588000"/>
    <n v="68000"/>
    <n v="22000"/>
    <s v="Active"/>
    <n v="656000"/>
    <n v="678000"/>
  </r>
  <r>
    <x v="333"/>
    <x v="3"/>
    <s v="HR Executive"/>
    <s v="Entry"/>
    <n v="542000"/>
    <n v="64000"/>
    <n v="25000"/>
    <s v="Active"/>
    <n v="606000"/>
    <n v="631000"/>
  </r>
  <r>
    <x v="334"/>
    <x v="3"/>
    <s v="HR Operations Executive"/>
    <s v="Entry"/>
    <n v="621000"/>
    <n v="65000"/>
    <n v="18000"/>
    <s v="Active"/>
    <n v="686000"/>
    <n v="704000"/>
  </r>
  <r>
    <x v="335"/>
    <x v="3"/>
    <s v="Compensation Analyst"/>
    <s v="Mid"/>
    <n v="760000"/>
    <n v="105000"/>
    <n v="20000"/>
    <s v="Active"/>
    <n v="865000"/>
    <n v="885000"/>
  </r>
  <r>
    <x v="336"/>
    <x v="3"/>
    <s v="Talent Acquisition Specialist"/>
    <s v="Mid"/>
    <n v="657000"/>
    <n v="67000"/>
    <n v="20000"/>
    <s v="Active"/>
    <n v="724000"/>
    <n v="744000"/>
  </r>
  <r>
    <x v="337"/>
    <x v="3"/>
    <s v="Compensation Analyst"/>
    <s v="Mid"/>
    <n v="791000"/>
    <n v="84000"/>
    <n v="20000"/>
    <s v="Active"/>
    <n v="875000"/>
    <n v="895000"/>
  </r>
  <r>
    <x v="338"/>
    <x v="3"/>
    <s v="HR Operations Executive"/>
    <s v="Entry"/>
    <n v="561000"/>
    <n v="78000"/>
    <n v="25000"/>
    <s v="Active"/>
    <n v="639000"/>
    <n v="664000"/>
  </r>
  <r>
    <x v="339"/>
    <x v="3"/>
    <s v="Talent Acquisition Specialist"/>
    <s v="Mid"/>
    <n v="658000"/>
    <n v="79000"/>
    <n v="25000"/>
    <s v="Active"/>
    <n v="737000"/>
    <n v="762000"/>
  </r>
  <r>
    <x v="340"/>
    <x v="3"/>
    <s v="HR Executive"/>
    <s v="Entry"/>
    <n v="535000"/>
    <n v="56000"/>
    <n v="30000"/>
    <s v="Active"/>
    <n v="591000"/>
    <n v="621000"/>
  </r>
  <r>
    <x v="341"/>
    <x v="3"/>
    <s v="Compensation Analyst"/>
    <s v="Mid"/>
    <n v="826000"/>
    <n v="105000"/>
    <n v="15000"/>
    <s v="Active"/>
    <n v="931000"/>
    <n v="946000"/>
  </r>
  <r>
    <x v="342"/>
    <x v="3"/>
    <s v="HR Executive"/>
    <s v="Entry"/>
    <n v="574000"/>
    <n v="80000"/>
    <n v="22000"/>
    <s v="Active"/>
    <n v="654000"/>
    <n v="676000"/>
  </r>
  <r>
    <x v="343"/>
    <x v="3"/>
    <s v="Talent Acquisition Specialist"/>
    <s v="Mid"/>
    <n v="609000"/>
    <n v="76000"/>
    <n v="30000"/>
    <s v="Active"/>
    <n v="685000"/>
    <n v="715000"/>
  </r>
  <r>
    <x v="344"/>
    <x v="3"/>
    <s v="HR Operations Executive"/>
    <s v="Entry"/>
    <n v="544000"/>
    <n v="75000"/>
    <n v="18000"/>
    <s v="Active"/>
    <n v="619000"/>
    <n v="637000"/>
  </r>
  <r>
    <x v="345"/>
    <x v="3"/>
    <s v="Talent Acquisition Specialist"/>
    <s v="Mid"/>
    <n v="645000"/>
    <n v="75000"/>
    <n v="22000"/>
    <s v="Active"/>
    <n v="720000"/>
    <n v="742000"/>
  </r>
  <r>
    <x v="346"/>
    <x v="3"/>
    <s v="HR Operations Executive"/>
    <s v="Entry"/>
    <n v="662000"/>
    <n v="89000"/>
    <n v="15000"/>
    <s v="Active"/>
    <n v="751000"/>
    <n v="766000"/>
  </r>
  <r>
    <x v="347"/>
    <x v="3"/>
    <s v="Talent Acquisition Specialist"/>
    <s v="Mid"/>
    <n v="665000"/>
    <n v="93000"/>
    <n v="35000"/>
    <s v="Active"/>
    <n v="758000"/>
    <n v="793000"/>
  </r>
  <r>
    <x v="348"/>
    <x v="3"/>
    <s v="HR Executive"/>
    <s v="Entry"/>
    <n v="516000"/>
    <n v="70000"/>
    <n v="28000"/>
    <s v="Active"/>
    <n v="586000"/>
    <n v="614000"/>
  </r>
  <r>
    <x v="349"/>
    <x v="3"/>
    <s v="HR Operations Executive"/>
    <s v="Entry"/>
    <n v="655000"/>
    <n v="83000"/>
    <n v="25000"/>
    <s v="Active"/>
    <n v="738000"/>
    <n v="763000"/>
  </r>
  <r>
    <x v="350"/>
    <x v="3"/>
    <s v="HR Executive"/>
    <s v="Entry"/>
    <n v="525000"/>
    <n v="64000"/>
    <n v="22000"/>
    <s v="Active"/>
    <n v="589000"/>
    <n v="611000"/>
  </r>
  <r>
    <x v="351"/>
    <x v="3"/>
    <s v="HR Manager"/>
    <s v="Leadership"/>
    <n v="1230000"/>
    <n v="158000"/>
    <n v="35000"/>
    <s v="Active"/>
    <n v="1388000"/>
    <n v="1423000"/>
  </r>
  <r>
    <x v="352"/>
    <x v="3"/>
    <s v="HR Executive"/>
    <s v="Entry"/>
    <n v="608000"/>
    <n v="80000"/>
    <n v="25000"/>
    <s v="Active"/>
    <n v="688000"/>
    <n v="713000"/>
  </r>
  <r>
    <x v="353"/>
    <x v="3"/>
    <s v="Talent Acquisition Specialist"/>
    <s v="Mid"/>
    <n v="663000"/>
    <n v="90000"/>
    <n v="30000"/>
    <s v="Active"/>
    <n v="753000"/>
    <n v="783000"/>
  </r>
  <r>
    <x v="354"/>
    <x v="3"/>
    <s v="HR Business Partner"/>
    <s v="Mid"/>
    <n v="1023000"/>
    <n v="114000"/>
    <n v="25000"/>
    <s v="Active"/>
    <n v="1137000"/>
    <n v="1162000"/>
  </r>
  <r>
    <x v="355"/>
    <x v="3"/>
    <s v="HR Executive"/>
    <s v="Entry"/>
    <n v="607000"/>
    <n v="77000"/>
    <n v="35000"/>
    <s v="Active"/>
    <n v="684000"/>
    <n v="719000"/>
  </r>
  <r>
    <x v="356"/>
    <x v="3"/>
    <s v="Compensation Analyst"/>
    <s v="Mid"/>
    <n v="749000"/>
    <n v="92000"/>
    <n v="25000"/>
    <s v="Active"/>
    <n v="841000"/>
    <n v="866000"/>
  </r>
  <r>
    <x v="357"/>
    <x v="3"/>
    <s v="HR Operations Executive"/>
    <s v="Entry"/>
    <n v="617000"/>
    <n v="68000"/>
    <n v="22000"/>
    <s v="Active"/>
    <n v="685000"/>
    <n v="707000"/>
  </r>
  <r>
    <x v="358"/>
    <x v="3"/>
    <s v="HR Executive"/>
    <s v="Entry"/>
    <n v="545000"/>
    <n v="70000"/>
    <n v="18000"/>
    <s v="Active"/>
    <n v="615000"/>
    <n v="633000"/>
  </r>
  <r>
    <x v="359"/>
    <x v="3"/>
    <s v="HR Executive"/>
    <s v="Entry"/>
    <n v="612000"/>
    <n v="85000"/>
    <n v="20000"/>
    <s v="Active"/>
    <n v="697000"/>
    <n v="717000"/>
  </r>
  <r>
    <x v="360"/>
    <x v="3"/>
    <s v="HR Business Partner"/>
    <s v="Mid"/>
    <n v="1039000"/>
    <n v="124000"/>
    <n v="22000"/>
    <s v="Active"/>
    <n v="1163000"/>
    <n v="1185000"/>
  </r>
  <r>
    <x v="361"/>
    <x v="3"/>
    <s v="HR Executive"/>
    <s v="Entry"/>
    <n v="530000"/>
    <n v="54000"/>
    <n v="18000"/>
    <s v="Active"/>
    <n v="584000"/>
    <n v="602000"/>
  </r>
  <r>
    <x v="362"/>
    <x v="3"/>
    <s v="HR Executive"/>
    <s v="Entry"/>
    <n v="584000"/>
    <n v="78000"/>
    <n v="15000"/>
    <s v="Active"/>
    <n v="662000"/>
    <n v="677000"/>
  </r>
  <r>
    <x v="363"/>
    <x v="3"/>
    <s v="HR Executive"/>
    <s v="Entry"/>
    <n v="602000"/>
    <n v="64000"/>
    <n v="15000"/>
    <s v="Active"/>
    <n v="666000"/>
    <n v="681000"/>
  </r>
  <r>
    <x v="364"/>
    <x v="3"/>
    <s v="Talent Acquisition Specialist"/>
    <s v="Mid"/>
    <n v="656000"/>
    <n v="90000"/>
    <n v="25000"/>
    <s v="Active"/>
    <n v="746000"/>
    <n v="771000"/>
  </r>
  <r>
    <x v="365"/>
    <x v="3"/>
    <s v="HR Executive"/>
    <s v="Entry"/>
    <n v="564000"/>
    <n v="59000"/>
    <n v="28000"/>
    <s v="Active"/>
    <n v="623000"/>
    <n v="651000"/>
  </r>
  <r>
    <x v="366"/>
    <x v="3"/>
    <s v="HR Manager"/>
    <s v="Leadership"/>
    <n v="1172000"/>
    <n v="140000"/>
    <n v="20000"/>
    <s v="Active"/>
    <n v="1312000"/>
    <n v="1332000"/>
  </r>
  <r>
    <x v="367"/>
    <x v="3"/>
    <s v="Talent Acquisition Specialist"/>
    <s v="Mid"/>
    <n v="613000"/>
    <n v="64000"/>
    <n v="20000"/>
    <s v="Active"/>
    <n v="677000"/>
    <n v="697000"/>
  </r>
  <r>
    <x v="368"/>
    <x v="3"/>
    <s v="HR Operations Executive"/>
    <s v="Entry"/>
    <n v="635000"/>
    <n v="64000"/>
    <n v="28000"/>
    <s v="Active"/>
    <n v="699000"/>
    <n v="727000"/>
  </r>
  <r>
    <x v="369"/>
    <x v="3"/>
    <s v="Talent Acquisition Specialist"/>
    <s v="Mid"/>
    <n v="693000"/>
    <n v="74000"/>
    <n v="30000"/>
    <s v="Active"/>
    <n v="767000"/>
    <n v="797000"/>
  </r>
  <r>
    <x v="370"/>
    <x v="3"/>
    <s v="Talent Acquisition Specialist"/>
    <s v="Mid"/>
    <n v="597000"/>
    <n v="76000"/>
    <n v="20000"/>
    <s v="Active"/>
    <n v="673000"/>
    <n v="693000"/>
  </r>
  <r>
    <x v="371"/>
    <x v="3"/>
    <s v="Talent Acquisition Specialist"/>
    <s v="Mid"/>
    <n v="719000"/>
    <n v="72000"/>
    <n v="30000"/>
    <s v="Active"/>
    <n v="791000"/>
    <n v="821000"/>
  </r>
  <r>
    <x v="372"/>
    <x v="3"/>
    <s v="HR Operations Executive"/>
    <s v="Entry"/>
    <n v="666000"/>
    <n v="75000"/>
    <n v="15000"/>
    <s v="Active"/>
    <n v="741000"/>
    <n v="756000"/>
  </r>
  <r>
    <x v="373"/>
    <x v="3"/>
    <s v="HR Executive"/>
    <s v="Entry"/>
    <n v="524000"/>
    <n v="66000"/>
    <n v="35000"/>
    <s v="Active"/>
    <n v="590000"/>
    <n v="625000"/>
  </r>
  <r>
    <x v="374"/>
    <x v="3"/>
    <s v="Talent Acquisition Specialist"/>
    <s v="Mid"/>
    <n v="657000"/>
    <n v="89000"/>
    <n v="25000"/>
    <s v="Active"/>
    <n v="746000"/>
    <n v="771000"/>
  </r>
  <r>
    <x v="375"/>
    <x v="4"/>
    <s v="Process Analyst"/>
    <s v="Mid"/>
    <n v="775000"/>
    <n v="89000"/>
    <n v="22000"/>
    <s v="Active"/>
    <n v="864000"/>
    <n v="886000"/>
  </r>
  <r>
    <x v="376"/>
    <x v="4"/>
    <s v="Operations Executive"/>
    <s v="Entry"/>
    <n v="560000"/>
    <n v="73000"/>
    <n v="28000"/>
    <s v="Active"/>
    <n v="633000"/>
    <n v="661000"/>
  </r>
  <r>
    <x v="377"/>
    <x v="4"/>
    <s v="Senior Operations Executive"/>
    <s v="Senior"/>
    <n v="803000"/>
    <n v="98000"/>
    <n v="22000"/>
    <s v="Active"/>
    <n v="901000"/>
    <n v="923000"/>
  </r>
  <r>
    <x v="378"/>
    <x v="4"/>
    <s v="Process Analyst"/>
    <s v="Mid"/>
    <n v="722000"/>
    <n v="95000"/>
    <n v="35000"/>
    <s v="Active"/>
    <n v="817000"/>
    <n v="852000"/>
  </r>
  <r>
    <x v="379"/>
    <x v="4"/>
    <s v="Operations Executive"/>
    <s v="Entry"/>
    <n v="661000"/>
    <n v="69000"/>
    <n v="22000"/>
    <s v="Active"/>
    <n v="730000"/>
    <n v="752000"/>
  </r>
  <r>
    <x v="380"/>
    <x v="4"/>
    <s v="Operations Executive"/>
    <s v="Entry"/>
    <n v="583000"/>
    <n v="70000"/>
    <n v="18000"/>
    <s v="Active"/>
    <n v="653000"/>
    <n v="671000"/>
  </r>
  <r>
    <x v="381"/>
    <x v="4"/>
    <s v="Process Analyst"/>
    <s v="Mid"/>
    <n v="705000"/>
    <n v="96000"/>
    <n v="35000"/>
    <s v="Active"/>
    <n v="801000"/>
    <n v="836000"/>
  </r>
  <r>
    <x v="382"/>
    <x v="4"/>
    <s v="Senior Operations Executive"/>
    <s v="Senior"/>
    <n v="810000"/>
    <n v="96000"/>
    <n v="15000"/>
    <s v="Active"/>
    <n v="906000"/>
    <n v="921000"/>
  </r>
  <r>
    <x v="383"/>
    <x v="4"/>
    <s v="Process Analyst"/>
    <s v="Mid"/>
    <n v="677000"/>
    <n v="68000"/>
    <n v="25000"/>
    <s v="Active"/>
    <n v="745000"/>
    <n v="770000"/>
  </r>
  <r>
    <x v="384"/>
    <x v="4"/>
    <s v="Quality Analyst"/>
    <s v="Mid"/>
    <n v="699000"/>
    <n v="71000"/>
    <n v="28000"/>
    <s v="Active"/>
    <n v="770000"/>
    <n v="798000"/>
  </r>
  <r>
    <x v="385"/>
    <x v="4"/>
    <s v="Senior Operations Executive"/>
    <s v="Senior"/>
    <n v="731000"/>
    <n v="99000"/>
    <n v="35000"/>
    <s v="Exit"/>
    <n v="830000"/>
    <n v="865000"/>
  </r>
  <r>
    <x v="386"/>
    <x v="4"/>
    <s v="Senior Operations Executive"/>
    <s v="Senior"/>
    <n v="855000"/>
    <n v="112000"/>
    <n v="30000"/>
    <s v="Active"/>
    <n v="967000"/>
    <n v="997000"/>
  </r>
  <r>
    <x v="387"/>
    <x v="4"/>
    <s v="Process Improvement Analyst"/>
    <s v="Mid"/>
    <n v="759000"/>
    <n v="104000"/>
    <n v="30000"/>
    <s v="Active"/>
    <n v="863000"/>
    <n v="893000"/>
  </r>
  <r>
    <x v="388"/>
    <x v="4"/>
    <s v="Process Analyst"/>
    <s v="Mid"/>
    <n v="732000"/>
    <n v="89000"/>
    <n v="28000"/>
    <s v="Active"/>
    <n v="821000"/>
    <n v="849000"/>
  </r>
  <r>
    <x v="389"/>
    <x v="4"/>
    <s v="Senior Operations Manager"/>
    <s v="Leadership"/>
    <n v="1233000"/>
    <n v="130000"/>
    <n v="22000"/>
    <s v="Active"/>
    <n v="1363000"/>
    <n v="1385000"/>
  </r>
  <r>
    <x v="390"/>
    <x v="4"/>
    <s v="Quality Analyst"/>
    <s v="Mid"/>
    <n v="758000"/>
    <n v="90000"/>
    <n v="30000"/>
    <s v="Active"/>
    <n v="848000"/>
    <n v="878000"/>
  </r>
  <r>
    <x v="391"/>
    <x v="4"/>
    <s v="Quality Analyst"/>
    <s v="Mid"/>
    <n v="649000"/>
    <n v="74000"/>
    <n v="25000"/>
    <s v="Active"/>
    <n v="723000"/>
    <n v="748000"/>
  </r>
  <r>
    <x v="392"/>
    <x v="4"/>
    <s v="Process Improvement Analyst"/>
    <s v="Mid"/>
    <n v="812000"/>
    <n v="82000"/>
    <n v="30000"/>
    <s v="Active"/>
    <n v="894000"/>
    <n v="924000"/>
  </r>
  <r>
    <x v="393"/>
    <x v="4"/>
    <s v="Process Improvement Analyst"/>
    <s v="Mid"/>
    <n v="833000"/>
    <n v="91000"/>
    <n v="18000"/>
    <s v="Active"/>
    <n v="924000"/>
    <n v="942000"/>
  </r>
  <r>
    <x v="394"/>
    <x v="4"/>
    <s v="Operations Executive"/>
    <s v="Entry"/>
    <n v="619000"/>
    <n v="79000"/>
    <n v="15000"/>
    <s v="Active"/>
    <n v="698000"/>
    <n v="713000"/>
  </r>
  <r>
    <x v="395"/>
    <x v="4"/>
    <s v="Operations Executive"/>
    <s v="Entry"/>
    <n v="598000"/>
    <n v="73000"/>
    <n v="15000"/>
    <s v="Active"/>
    <n v="671000"/>
    <n v="686000"/>
  </r>
  <r>
    <x v="396"/>
    <x v="4"/>
    <s v="Senior Operations Manager"/>
    <s v="Leadership"/>
    <n v="1189000"/>
    <n v="162000"/>
    <n v="28000"/>
    <s v="Active"/>
    <n v="1351000"/>
    <n v="1379000"/>
  </r>
  <r>
    <x v="397"/>
    <x v="4"/>
    <s v="Quality Analyst"/>
    <s v="Mid"/>
    <n v="734000"/>
    <n v="80000"/>
    <n v="20000"/>
    <s v="Active"/>
    <n v="814000"/>
    <n v="834000"/>
  </r>
  <r>
    <x v="398"/>
    <x v="4"/>
    <s v="Senior Operations Executive"/>
    <s v="Senior"/>
    <n v="793000"/>
    <n v="88000"/>
    <n v="20000"/>
    <s v="Active"/>
    <n v="881000"/>
    <n v="901000"/>
  </r>
  <r>
    <x v="399"/>
    <x v="4"/>
    <s v="Senior Operations Executive"/>
    <s v="Senior"/>
    <n v="807000"/>
    <n v="112000"/>
    <n v="30000"/>
    <s v="Active"/>
    <n v="919000"/>
    <n v="949000"/>
  </r>
  <r>
    <x v="400"/>
    <x v="4"/>
    <s v="Operations Executive"/>
    <s v="Entry"/>
    <n v="595000"/>
    <n v="63000"/>
    <n v="30000"/>
    <s v="Active"/>
    <n v="658000"/>
    <n v="688000"/>
  </r>
  <r>
    <x v="401"/>
    <x v="4"/>
    <s v="Senior Operations Executive"/>
    <s v="Senior"/>
    <n v="762000"/>
    <n v="83000"/>
    <n v="20000"/>
    <s v="Active"/>
    <n v="845000"/>
    <n v="865000"/>
  </r>
  <r>
    <x v="402"/>
    <x v="4"/>
    <s v="Process Improvement Analyst"/>
    <s v="Mid"/>
    <n v="778000"/>
    <n v="108000"/>
    <n v="20000"/>
    <s v="Active"/>
    <n v="886000"/>
    <n v="906000"/>
  </r>
  <r>
    <x v="403"/>
    <x v="4"/>
    <s v="Operations Executive"/>
    <s v="Entry"/>
    <n v="584000"/>
    <n v="60000"/>
    <n v="35000"/>
    <s v="Active"/>
    <n v="644000"/>
    <n v="679000"/>
  </r>
  <r>
    <x v="404"/>
    <x v="4"/>
    <s v="Operations Executive"/>
    <s v="Entry"/>
    <n v="636000"/>
    <n v="68000"/>
    <n v="25000"/>
    <s v="Active"/>
    <n v="704000"/>
    <n v="729000"/>
  </r>
  <r>
    <x v="405"/>
    <x v="4"/>
    <s v="Process Analyst"/>
    <s v="Mid"/>
    <n v="636000"/>
    <n v="65000"/>
    <n v="22000"/>
    <s v="Active"/>
    <n v="701000"/>
    <n v="723000"/>
  </r>
  <r>
    <x v="406"/>
    <x v="4"/>
    <s v="Process Improvement Analyst"/>
    <s v="Mid"/>
    <n v="740000"/>
    <n v="102000"/>
    <n v="15000"/>
    <s v="Active"/>
    <n v="842000"/>
    <n v="857000"/>
  </r>
  <r>
    <x v="407"/>
    <x v="4"/>
    <s v="Operations Executive"/>
    <s v="Entry"/>
    <n v="638000"/>
    <n v="83000"/>
    <n v="35000"/>
    <s v="Active"/>
    <n v="721000"/>
    <n v="756000"/>
  </r>
  <r>
    <x v="408"/>
    <x v="4"/>
    <s v="Process Analyst"/>
    <s v="Mid"/>
    <n v="738000"/>
    <n v="86000"/>
    <n v="22000"/>
    <s v="Active"/>
    <n v="824000"/>
    <n v="846000"/>
  </r>
  <r>
    <x v="409"/>
    <x v="4"/>
    <s v="Quality Analyst"/>
    <s v="Mid"/>
    <n v="669000"/>
    <n v="81000"/>
    <n v="28000"/>
    <s v="Active"/>
    <n v="750000"/>
    <n v="778000"/>
  </r>
  <r>
    <x v="410"/>
    <x v="4"/>
    <s v="Operations Executive"/>
    <s v="Entry"/>
    <n v="657000"/>
    <n v="78000"/>
    <n v="35000"/>
    <s v="Active"/>
    <n v="735000"/>
    <n v="770000"/>
  </r>
  <r>
    <x v="411"/>
    <x v="4"/>
    <s v="Operations Executive"/>
    <s v="Entry"/>
    <n v="567000"/>
    <n v="64000"/>
    <n v="15000"/>
    <s v="Active"/>
    <n v="631000"/>
    <n v="646000"/>
  </r>
  <r>
    <x v="412"/>
    <x v="4"/>
    <s v="Operations Executive"/>
    <s v="Entry"/>
    <n v="559000"/>
    <n v="62000"/>
    <n v="30000"/>
    <s v="Active"/>
    <n v="621000"/>
    <n v="651000"/>
  </r>
  <r>
    <x v="413"/>
    <x v="4"/>
    <s v="Operations Executive"/>
    <s v="Entry"/>
    <n v="570000"/>
    <n v="70000"/>
    <n v="22000"/>
    <s v="Active"/>
    <n v="640000"/>
    <n v="662000"/>
  </r>
  <r>
    <x v="414"/>
    <x v="4"/>
    <s v="Process Analyst"/>
    <s v="Mid"/>
    <n v="735000"/>
    <n v="81000"/>
    <n v="35000"/>
    <s v="Active"/>
    <n v="816000"/>
    <n v="851000"/>
  </r>
  <r>
    <x v="415"/>
    <x v="4"/>
    <s v="Process Analyst"/>
    <s v="Mid"/>
    <n v="706000"/>
    <n v="75000"/>
    <n v="28000"/>
    <s v="Active"/>
    <n v="781000"/>
    <n v="809000"/>
  </r>
  <r>
    <x v="416"/>
    <x v="4"/>
    <s v="Process Analyst"/>
    <s v="Mid"/>
    <n v="705000"/>
    <n v="96000"/>
    <n v="15000"/>
    <s v="Active"/>
    <n v="801000"/>
    <n v="816000"/>
  </r>
  <r>
    <x v="417"/>
    <x v="4"/>
    <s v="Quality Analyst"/>
    <s v="Mid"/>
    <n v="623000"/>
    <n v="83000"/>
    <n v="15000"/>
    <s v="Active"/>
    <n v="706000"/>
    <n v="721000"/>
  </r>
  <r>
    <x v="418"/>
    <x v="4"/>
    <s v="Senior Operations Executive"/>
    <s v="Senior"/>
    <n v="868000"/>
    <n v="95000"/>
    <n v="20000"/>
    <s v="Exit"/>
    <n v="963000"/>
    <n v="983000"/>
  </r>
  <r>
    <x v="419"/>
    <x v="4"/>
    <s v="Senior Operations Executive"/>
    <s v="Senior"/>
    <n v="786000"/>
    <n v="98000"/>
    <n v="35000"/>
    <s v="Active"/>
    <n v="884000"/>
    <n v="919000"/>
  </r>
  <r>
    <x v="420"/>
    <x v="4"/>
    <s v="Operations Executive"/>
    <s v="Entry"/>
    <n v="610000"/>
    <n v="71000"/>
    <n v="15000"/>
    <s v="Active"/>
    <n v="681000"/>
    <n v="696000"/>
  </r>
  <r>
    <x v="421"/>
    <x v="4"/>
    <s v="Operations Executive"/>
    <s v="Entry"/>
    <n v="669000"/>
    <n v="67000"/>
    <n v="30000"/>
    <s v="Active"/>
    <n v="736000"/>
    <n v="766000"/>
  </r>
  <r>
    <x v="422"/>
    <x v="4"/>
    <s v="Process Improvement Analyst"/>
    <s v="Mid"/>
    <n v="702000"/>
    <n v="73000"/>
    <n v="20000"/>
    <s v="Active"/>
    <n v="775000"/>
    <n v="795000"/>
  </r>
  <r>
    <x v="423"/>
    <x v="4"/>
    <s v="Process Analyst"/>
    <s v="Mid"/>
    <n v="669000"/>
    <n v="76000"/>
    <n v="30000"/>
    <s v="Exit"/>
    <n v="745000"/>
    <n v="775000"/>
  </r>
  <r>
    <x v="424"/>
    <x v="4"/>
    <s v="Operations Manager"/>
    <s v="Leadership"/>
    <n v="1051000"/>
    <n v="115000"/>
    <n v="22000"/>
    <s v="Active"/>
    <n v="1166000"/>
    <n v="1188000"/>
  </r>
  <r>
    <x v="425"/>
    <x v="4"/>
    <s v="Quality Analyst"/>
    <s v="Mid"/>
    <n v="624000"/>
    <n v="87000"/>
    <n v="15000"/>
    <s v="Active"/>
    <n v="711000"/>
    <n v="726000"/>
  </r>
  <r>
    <x v="426"/>
    <x v="4"/>
    <s v="Senior Operations Executive"/>
    <s v="Senior"/>
    <n v="817000"/>
    <n v="84000"/>
    <n v="15000"/>
    <s v="Active"/>
    <n v="901000"/>
    <n v="916000"/>
  </r>
  <r>
    <x v="427"/>
    <x v="4"/>
    <s v="Operations Executive"/>
    <s v="Entry"/>
    <n v="652000"/>
    <n v="82000"/>
    <n v="28000"/>
    <s v="Active"/>
    <n v="734000"/>
    <n v="762000"/>
  </r>
  <r>
    <x v="428"/>
    <x v="4"/>
    <s v="Process Improvement Analyst"/>
    <s v="Mid"/>
    <n v="700000"/>
    <n v="85000"/>
    <n v="15000"/>
    <s v="Active"/>
    <n v="785000"/>
    <n v="800000"/>
  </r>
  <r>
    <x v="429"/>
    <x v="4"/>
    <s v="Process Improvement Analyst"/>
    <s v="Mid"/>
    <n v="800000"/>
    <n v="98000"/>
    <n v="25000"/>
    <s v="Exit"/>
    <n v="898000"/>
    <n v="923000"/>
  </r>
  <r>
    <x v="430"/>
    <x v="4"/>
    <s v="Operations Executive"/>
    <s v="Entry"/>
    <n v="662000"/>
    <n v="90000"/>
    <n v="15000"/>
    <s v="Active"/>
    <n v="752000"/>
    <n v="767000"/>
  </r>
  <r>
    <x v="431"/>
    <x v="4"/>
    <s v="Process Improvement Analyst"/>
    <s v="Mid"/>
    <n v="687000"/>
    <n v="74000"/>
    <n v="20000"/>
    <s v="Active"/>
    <n v="761000"/>
    <n v="781000"/>
  </r>
  <r>
    <x v="432"/>
    <x v="4"/>
    <s v="Process Analyst"/>
    <s v="Mid"/>
    <n v="691000"/>
    <n v="71000"/>
    <n v="20000"/>
    <s v="Active"/>
    <n v="762000"/>
    <n v="782000"/>
  </r>
  <r>
    <x v="433"/>
    <x v="4"/>
    <s v="Senior Operations Executive"/>
    <s v="Senior"/>
    <n v="870000"/>
    <n v="111000"/>
    <n v="28000"/>
    <s v="Active"/>
    <n v="981000"/>
    <n v="1009000"/>
  </r>
  <r>
    <x v="434"/>
    <x v="4"/>
    <s v="Quality Analyst"/>
    <s v="Mid"/>
    <n v="730000"/>
    <n v="93000"/>
    <n v="18000"/>
    <s v="Active"/>
    <n v="823000"/>
    <n v="841000"/>
  </r>
  <r>
    <x v="435"/>
    <x v="4"/>
    <s v="Operations Manager"/>
    <s v="Leadership"/>
    <n v="957000"/>
    <n v="112000"/>
    <n v="18000"/>
    <s v="Active"/>
    <n v="1069000"/>
    <n v="1087000"/>
  </r>
  <r>
    <x v="436"/>
    <x v="4"/>
    <s v="Quality Analyst"/>
    <s v="Mid"/>
    <n v="755000"/>
    <n v="87000"/>
    <n v="28000"/>
    <s v="Exit"/>
    <n v="842000"/>
    <n v="870000"/>
  </r>
  <r>
    <x v="437"/>
    <x v="4"/>
    <s v="Operations Executive"/>
    <s v="Entry"/>
    <n v="671000"/>
    <n v="80000"/>
    <n v="28000"/>
    <s v="Active"/>
    <n v="751000"/>
    <n v="779000"/>
  </r>
  <r>
    <x v="438"/>
    <x v="4"/>
    <s v="Senior Operations Executive"/>
    <s v="Senior"/>
    <n v="753000"/>
    <n v="93000"/>
    <n v="30000"/>
    <s v="Active"/>
    <n v="846000"/>
    <n v="876000"/>
  </r>
  <r>
    <x v="439"/>
    <x v="4"/>
    <s v="Process Analyst"/>
    <s v="Mid"/>
    <n v="753000"/>
    <n v="97000"/>
    <n v="18000"/>
    <s v="Active"/>
    <n v="850000"/>
    <n v="868000"/>
  </r>
  <r>
    <x v="440"/>
    <x v="4"/>
    <s v="Senior Operations Executive"/>
    <s v="Senior"/>
    <n v="858000"/>
    <n v="91000"/>
    <n v="30000"/>
    <s v="Active"/>
    <n v="949000"/>
    <n v="979000"/>
  </r>
  <r>
    <x v="441"/>
    <x v="4"/>
    <s v="Operations Executive"/>
    <s v="Entry"/>
    <n v="541000"/>
    <n v="61000"/>
    <n v="28000"/>
    <s v="Active"/>
    <n v="602000"/>
    <n v="630000"/>
  </r>
  <r>
    <x v="442"/>
    <x v="4"/>
    <s v="Operations Executive"/>
    <s v="Entry"/>
    <n v="552000"/>
    <n v="65000"/>
    <n v="30000"/>
    <s v="Active"/>
    <n v="617000"/>
    <n v="647000"/>
  </r>
  <r>
    <x v="443"/>
    <x v="4"/>
    <s v="Operations Executive"/>
    <s v="Entry"/>
    <n v="613000"/>
    <n v="76000"/>
    <n v="28000"/>
    <s v="Active"/>
    <n v="689000"/>
    <n v="717000"/>
  </r>
  <r>
    <x v="444"/>
    <x v="4"/>
    <s v="Operations Executive"/>
    <s v="Entry"/>
    <n v="595000"/>
    <n v="78000"/>
    <n v="22000"/>
    <s v="Active"/>
    <n v="673000"/>
    <n v="695000"/>
  </r>
  <r>
    <x v="445"/>
    <x v="4"/>
    <s v="Operations Executive"/>
    <s v="Entry"/>
    <n v="590000"/>
    <n v="62000"/>
    <n v="25000"/>
    <s v="Active"/>
    <n v="652000"/>
    <n v="677000"/>
  </r>
  <r>
    <x v="446"/>
    <x v="4"/>
    <s v="Operations Executive"/>
    <s v="Entry"/>
    <n v="562000"/>
    <n v="62000"/>
    <n v="25000"/>
    <s v="Active"/>
    <n v="624000"/>
    <n v="649000"/>
  </r>
  <r>
    <x v="447"/>
    <x v="4"/>
    <s v="Operations Executive"/>
    <s v="Entry"/>
    <n v="573000"/>
    <n v="63000"/>
    <n v="35000"/>
    <s v="Active"/>
    <n v="636000"/>
    <n v="671000"/>
  </r>
  <r>
    <x v="448"/>
    <x v="4"/>
    <s v="Operations Executive"/>
    <s v="Entry"/>
    <n v="554000"/>
    <n v="62000"/>
    <n v="30000"/>
    <s v="Active"/>
    <n v="616000"/>
    <n v="646000"/>
  </r>
  <r>
    <x v="449"/>
    <x v="4"/>
    <s v="Process Analyst"/>
    <s v="Mid"/>
    <n v="754000"/>
    <n v="85000"/>
    <n v="28000"/>
    <s v="Active"/>
    <n v="839000"/>
    <n v="867000"/>
  </r>
  <r>
    <x v="450"/>
    <x v="4"/>
    <s v="Quality Analyst"/>
    <s v="Mid"/>
    <n v="709000"/>
    <n v="88000"/>
    <n v="25000"/>
    <s v="Active"/>
    <n v="797000"/>
    <n v="822000"/>
  </r>
  <r>
    <x v="451"/>
    <x v="4"/>
    <s v="Operations Manager"/>
    <s v="Leadership"/>
    <n v="991000"/>
    <n v="112000"/>
    <n v="30000"/>
    <s v="Active"/>
    <n v="1103000"/>
    <n v="1133000"/>
  </r>
  <r>
    <x v="452"/>
    <x v="4"/>
    <s v="Operations Executive"/>
    <s v="Entry"/>
    <n v="632000"/>
    <n v="76000"/>
    <n v="22000"/>
    <s v="Active"/>
    <n v="708000"/>
    <n v="730000"/>
  </r>
  <r>
    <x v="453"/>
    <x v="4"/>
    <s v="Operations Executive"/>
    <s v="Entry"/>
    <n v="644000"/>
    <n v="74000"/>
    <n v="22000"/>
    <s v="Active"/>
    <n v="718000"/>
    <n v="740000"/>
  </r>
  <r>
    <x v="454"/>
    <x v="4"/>
    <s v="Senior Operations Executive"/>
    <s v="Senior"/>
    <n v="840000"/>
    <n v="102000"/>
    <n v="35000"/>
    <s v="Active"/>
    <n v="942000"/>
    <n v="977000"/>
  </r>
  <r>
    <x v="455"/>
    <x v="4"/>
    <s v="Operations Executive"/>
    <s v="Entry"/>
    <n v="645000"/>
    <n v="86000"/>
    <n v="18000"/>
    <s v="Active"/>
    <n v="731000"/>
    <n v="749000"/>
  </r>
  <r>
    <x v="456"/>
    <x v="4"/>
    <s v="Quality Analyst"/>
    <s v="Mid"/>
    <n v="673000"/>
    <n v="81000"/>
    <n v="25000"/>
    <s v="Active"/>
    <n v="754000"/>
    <n v="779000"/>
  </r>
  <r>
    <x v="457"/>
    <x v="4"/>
    <s v="Process Analyst"/>
    <s v="Mid"/>
    <n v="740000"/>
    <n v="97000"/>
    <n v="18000"/>
    <s v="Active"/>
    <n v="837000"/>
    <n v="855000"/>
  </r>
  <r>
    <x v="458"/>
    <x v="4"/>
    <s v="Process Analyst"/>
    <s v="Mid"/>
    <n v="720000"/>
    <n v="87000"/>
    <n v="30000"/>
    <s v="Active"/>
    <n v="807000"/>
    <n v="837000"/>
  </r>
  <r>
    <x v="459"/>
    <x v="4"/>
    <s v="Quality Analyst"/>
    <s v="Mid"/>
    <n v="666000"/>
    <n v="90000"/>
    <n v="18000"/>
    <s v="Active"/>
    <n v="756000"/>
    <n v="774000"/>
  </r>
  <r>
    <x v="460"/>
    <x v="4"/>
    <s v="Operations Executive"/>
    <s v="Entry"/>
    <n v="628000"/>
    <n v="67000"/>
    <n v="15000"/>
    <s v="Active"/>
    <n v="695000"/>
    <n v="710000"/>
  </r>
  <r>
    <x v="461"/>
    <x v="4"/>
    <s v="Process Analyst"/>
    <s v="Mid"/>
    <n v="730000"/>
    <n v="101000"/>
    <n v="28000"/>
    <s v="Active"/>
    <n v="831000"/>
    <n v="859000"/>
  </r>
  <r>
    <x v="462"/>
    <x v="4"/>
    <s v="Senior Operations Executive"/>
    <s v="Senior"/>
    <n v="722000"/>
    <n v="80000"/>
    <n v="22000"/>
    <s v="Active"/>
    <n v="802000"/>
    <n v="824000"/>
  </r>
  <r>
    <x v="463"/>
    <x v="4"/>
    <s v="Senior Operations Executive"/>
    <s v="Senior"/>
    <n v="856000"/>
    <n v="106000"/>
    <n v="20000"/>
    <s v="Active"/>
    <n v="962000"/>
    <n v="982000"/>
  </r>
  <r>
    <x v="464"/>
    <x v="4"/>
    <s v="Operations Executive"/>
    <s v="Entry"/>
    <n v="554000"/>
    <n v="65000"/>
    <n v="18000"/>
    <s v="Active"/>
    <n v="619000"/>
    <n v="637000"/>
  </r>
  <r>
    <x v="465"/>
    <x v="4"/>
    <s v="Operations Manager"/>
    <s v="Leadership"/>
    <n v="978000"/>
    <n v="110000"/>
    <n v="35000"/>
    <s v="Active"/>
    <n v="1088000"/>
    <n v="1123000"/>
  </r>
  <r>
    <x v="466"/>
    <x v="4"/>
    <s v="Senior Operations Executive"/>
    <s v="Senior"/>
    <n v="781000"/>
    <n v="81000"/>
    <n v="35000"/>
    <s v="Active"/>
    <n v="862000"/>
    <n v="897000"/>
  </r>
  <r>
    <x v="467"/>
    <x v="4"/>
    <s v="Operations Executive"/>
    <s v="Entry"/>
    <n v="647000"/>
    <n v="68000"/>
    <n v="28000"/>
    <s v="Active"/>
    <n v="715000"/>
    <n v="743000"/>
  </r>
  <r>
    <x v="468"/>
    <x v="4"/>
    <s v="Process Analyst"/>
    <s v="Mid"/>
    <n v="655000"/>
    <n v="91000"/>
    <n v="22000"/>
    <s v="Active"/>
    <n v="746000"/>
    <n v="768000"/>
  </r>
  <r>
    <x v="469"/>
    <x v="4"/>
    <s v="Senior Operations Executive"/>
    <s v="Senior"/>
    <n v="778000"/>
    <n v="91000"/>
    <n v="35000"/>
    <s v="Active"/>
    <n v="869000"/>
    <n v="904000"/>
  </r>
  <r>
    <x v="470"/>
    <x v="4"/>
    <s v="Senior Operations Executive"/>
    <s v="Senior"/>
    <n v="752000"/>
    <n v="94000"/>
    <n v="30000"/>
    <s v="Active"/>
    <n v="846000"/>
    <n v="876000"/>
  </r>
  <r>
    <x v="471"/>
    <x v="4"/>
    <s v="Quality Analyst"/>
    <s v="Mid"/>
    <n v="744000"/>
    <n v="88000"/>
    <n v="30000"/>
    <s v="Active"/>
    <n v="832000"/>
    <n v="862000"/>
  </r>
  <r>
    <x v="472"/>
    <x v="4"/>
    <s v="Process Analyst"/>
    <s v="Mid"/>
    <n v="662000"/>
    <n v="86000"/>
    <n v="18000"/>
    <s v="Active"/>
    <n v="748000"/>
    <n v="766000"/>
  </r>
  <r>
    <x v="473"/>
    <x v="4"/>
    <s v="Quality Analyst"/>
    <s v="Mid"/>
    <n v="692000"/>
    <n v="79000"/>
    <n v="22000"/>
    <s v="Active"/>
    <n v="771000"/>
    <n v="793000"/>
  </r>
  <r>
    <x v="474"/>
    <x v="4"/>
    <s v="Operations Executive"/>
    <s v="Entry"/>
    <n v="654000"/>
    <n v="79000"/>
    <n v="28000"/>
    <s v="Active"/>
    <n v="733000"/>
    <n v="761000"/>
  </r>
  <r>
    <x v="475"/>
    <x v="4"/>
    <s v="Process Analyst"/>
    <s v="Mid"/>
    <n v="720000"/>
    <n v="82000"/>
    <n v="35000"/>
    <s v="Active"/>
    <n v="802000"/>
    <n v="837000"/>
  </r>
  <r>
    <x v="476"/>
    <x v="4"/>
    <s v="Quality Analyst"/>
    <s v="Mid"/>
    <n v="718000"/>
    <n v="80000"/>
    <n v="18000"/>
    <s v="Active"/>
    <n v="798000"/>
    <n v="816000"/>
  </r>
  <r>
    <x v="477"/>
    <x v="4"/>
    <s v="Operations Executive"/>
    <s v="Entry"/>
    <n v="571000"/>
    <n v="60000"/>
    <n v="28000"/>
    <s v="Active"/>
    <n v="631000"/>
    <n v="659000"/>
  </r>
  <r>
    <x v="478"/>
    <x v="4"/>
    <s v="Senior Operations Executive"/>
    <s v="Senior"/>
    <n v="794000"/>
    <n v="84000"/>
    <n v="30000"/>
    <s v="Active"/>
    <n v="878000"/>
    <n v="908000"/>
  </r>
  <r>
    <x v="479"/>
    <x v="4"/>
    <s v="Senior Operations Executive"/>
    <s v="Senior"/>
    <n v="815000"/>
    <n v="111000"/>
    <n v="20000"/>
    <s v="Active"/>
    <n v="926000"/>
    <n v="946000"/>
  </r>
  <r>
    <x v="480"/>
    <x v="4"/>
    <s v="Senior Operations Executive"/>
    <s v="Senior"/>
    <n v="745000"/>
    <n v="84000"/>
    <n v="35000"/>
    <s v="Active"/>
    <n v="829000"/>
    <n v="864000"/>
  </r>
  <r>
    <x v="481"/>
    <x v="4"/>
    <s v="Process Improvement Analyst"/>
    <s v="Mid"/>
    <n v="843000"/>
    <n v="101000"/>
    <n v="22000"/>
    <s v="Active"/>
    <n v="944000"/>
    <n v="966000"/>
  </r>
  <r>
    <x v="482"/>
    <x v="4"/>
    <s v="Operations Manager"/>
    <s v="Leadership"/>
    <n v="1062000"/>
    <n v="127000"/>
    <n v="35000"/>
    <s v="Active"/>
    <n v="1189000"/>
    <n v="1224000"/>
  </r>
  <r>
    <x v="483"/>
    <x v="4"/>
    <s v="Quality Analyst"/>
    <s v="Mid"/>
    <n v="685000"/>
    <n v="71000"/>
    <n v="15000"/>
    <s v="Active"/>
    <n v="756000"/>
    <n v="771000"/>
  </r>
  <r>
    <x v="484"/>
    <x v="4"/>
    <s v="Operations Executive"/>
    <s v="Entry"/>
    <n v="544000"/>
    <n v="59000"/>
    <n v="25000"/>
    <s v="Active"/>
    <n v="603000"/>
    <n v="628000"/>
  </r>
  <r>
    <x v="485"/>
    <x v="4"/>
    <s v="Senior Operations Executive"/>
    <s v="Senior"/>
    <n v="851000"/>
    <n v="111000"/>
    <n v="18000"/>
    <s v="Active"/>
    <n v="962000"/>
    <n v="980000"/>
  </r>
  <r>
    <x v="486"/>
    <x v="4"/>
    <s v="Operations Executive"/>
    <s v="Entry"/>
    <n v="612000"/>
    <n v="85000"/>
    <n v="15000"/>
    <s v="Active"/>
    <n v="697000"/>
    <n v="712000"/>
  </r>
  <r>
    <x v="487"/>
    <x v="4"/>
    <s v="Senior Operations Executive"/>
    <s v="Senior"/>
    <n v="758000"/>
    <n v="89000"/>
    <n v="22000"/>
    <s v="Active"/>
    <n v="847000"/>
    <n v="869000"/>
  </r>
  <r>
    <x v="488"/>
    <x v="4"/>
    <s v="Senior Operations Manager"/>
    <s v="Leadership"/>
    <n v="1249000"/>
    <n v="142000"/>
    <n v="18000"/>
    <s v="Active"/>
    <n v="1391000"/>
    <n v="1409000"/>
  </r>
  <r>
    <x v="489"/>
    <x v="4"/>
    <s v="Senior Operations Manager"/>
    <s v="Leadership"/>
    <n v="1338000"/>
    <n v="146000"/>
    <n v="28000"/>
    <s v="Active"/>
    <n v="1484000"/>
    <n v="1512000"/>
  </r>
  <r>
    <x v="490"/>
    <x v="4"/>
    <s v="Process Analyst"/>
    <s v="Mid"/>
    <n v="696000"/>
    <n v="87000"/>
    <n v="22000"/>
    <s v="Active"/>
    <n v="783000"/>
    <n v="805000"/>
  </r>
  <r>
    <x v="491"/>
    <x v="4"/>
    <s v="Quality Analyst"/>
    <s v="Mid"/>
    <n v="697000"/>
    <n v="85000"/>
    <n v="20000"/>
    <s v="Active"/>
    <n v="782000"/>
    <n v="802000"/>
  </r>
  <r>
    <x v="492"/>
    <x v="4"/>
    <s v="Process Analyst"/>
    <s v="Mid"/>
    <n v="675000"/>
    <n v="75000"/>
    <n v="18000"/>
    <s v="Active"/>
    <n v="750000"/>
    <n v="768000"/>
  </r>
  <r>
    <x v="493"/>
    <x v="4"/>
    <s v="Quality Analyst"/>
    <s v="Mid"/>
    <n v="674000"/>
    <n v="69000"/>
    <n v="25000"/>
    <s v="Active"/>
    <n v="743000"/>
    <n v="768000"/>
  </r>
  <r>
    <x v="494"/>
    <x v="4"/>
    <s v="Operations Executive"/>
    <s v="Entry"/>
    <n v="654000"/>
    <n v="72000"/>
    <n v="28000"/>
    <s v="Active"/>
    <n v="726000"/>
    <n v="754000"/>
  </r>
  <r>
    <x v="495"/>
    <x v="4"/>
    <s v="Quality Analyst"/>
    <s v="Mid"/>
    <n v="713000"/>
    <n v="85000"/>
    <n v="25000"/>
    <s v="Active"/>
    <n v="798000"/>
    <n v="823000"/>
  </r>
  <r>
    <x v="496"/>
    <x v="4"/>
    <s v="Senior Operations Executive"/>
    <s v="Senior"/>
    <n v="733000"/>
    <n v="97000"/>
    <n v="18000"/>
    <s v="Active"/>
    <n v="830000"/>
    <n v="848000"/>
  </r>
  <r>
    <x v="497"/>
    <x v="4"/>
    <s v="Quality Analyst"/>
    <s v="Mid"/>
    <n v="716000"/>
    <n v="97000"/>
    <n v="35000"/>
    <s v="Active"/>
    <n v="813000"/>
    <n v="848000"/>
  </r>
  <r>
    <x v="498"/>
    <x v="4"/>
    <s v="Operations Executive"/>
    <s v="Entry"/>
    <n v="540000"/>
    <n v="71000"/>
    <n v="18000"/>
    <s v="Active"/>
    <n v="611000"/>
    <n v="629000"/>
  </r>
  <r>
    <x v="499"/>
    <x v="4"/>
    <s v="Senior Operations Executive"/>
    <s v="Senior"/>
    <n v="837000"/>
    <n v="96000"/>
    <n v="18000"/>
    <s v="Active"/>
    <n v="933000"/>
    <n v="95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F10" firstHeaderRow="1" firstDataRow="2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dataField="1" numFmtId="164" showAll="0"/>
    <pivotField numFmtId="164" showAll="0"/>
    <pivotField dataField="1" numFmtId="164" showAll="0"/>
    <pivotField showAll="0"/>
    <pivotField numFmtId="164" showAll="0"/>
    <pivotField dataField="1"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Salary" fld="4" subtotal="average" baseField="0" baseItem="0"/>
    <dataField name="Sum of Training_Cost" fld="6" baseField="0" baseItem="0"/>
    <dataField name="Count of Employee_ID" fld="0" subtotal="count" baseField="0" baseItem="0"/>
    <dataField name="Sum of Annual_Cost" fld="9" baseField="0" baseItem="0"/>
    <dataField name="% of Total Cost" fld="9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J10" firstHeaderRow="1" firstDataRow="2" firstDataCol="1"/>
  <pivotFields count="11"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dataField="1" numFmtId="172" showAll="0"/>
    <pivotField dataField="1" numFmtId="172" showAll="0"/>
    <pivotField dataField="1" numFmtId="172" showAll="0"/>
    <pivotField dataField="1" numFmtId="172" showAll="0"/>
    <pivotField dataField="1" numFmtId="172" showAll="0"/>
    <pivotField dataField="1" numFmtId="172" showAll="0"/>
    <pivotField dataField="1" numFmtId="172" showAll="0"/>
    <pivotField dataField="1" numFmtId="172" showAll="0"/>
    <pivotField dataField="1" numFmtId="17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Planned_Salary" fld="2" baseField="0" baseItem="0"/>
    <dataField name="Sum of Actual_Salary" fld="3" baseField="0" baseItem="0"/>
    <dataField name="Sum of Salary_Variance" fld="4" baseField="0" baseItem="0"/>
    <dataField name="Sum of Planned_Training" fld="5" baseField="0" baseItem="0"/>
    <dataField name="Sum of Actual Training" fld="6" baseField="0" baseItem="0"/>
    <dataField name="Sum of Training Var." fld="7" baseField="0" baseItem="0"/>
    <dataField name="Sum of Total Planned" fld="8" baseField="0" baseItem="0"/>
    <dataField name="Sum of Total Actual" fld="9" baseField="0" baseItem="0"/>
    <dataField name="Sum of Total Var." fld="10" baseField="0" baseItem="0"/>
  </dataFields>
  <formats count="6">
    <format dxfId="30">
      <pivotArea type="all" dataOnly="0" outline="0" fieldPosition="0"/>
    </format>
    <format dxfId="28">
      <pivotArea type="all" dataOnly="0" outline="0" fieldPosition="0"/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-2" type="button" dataOnly="0" labelOnly="1" outline="0" axis="axisCol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10"/>
  <sheetViews>
    <sheetView tabSelected="1" workbookViewId="0">
      <selection activeCell="F18" sqref="F18"/>
    </sheetView>
  </sheetViews>
  <sheetFormatPr defaultRowHeight="14.4"/>
  <cols>
    <col min="1" max="1" width="15.6640625" bestFit="1" customWidth="1"/>
    <col min="2" max="2" width="15.77734375" bestFit="1" customWidth="1"/>
    <col min="3" max="3" width="19.109375" bestFit="1" customWidth="1"/>
    <col min="4" max="4" width="20.109375" bestFit="1" customWidth="1"/>
    <col min="5" max="5" width="18.33203125" bestFit="1" customWidth="1"/>
    <col min="6" max="6" width="13.5546875" customWidth="1"/>
  </cols>
  <sheetData>
    <row r="3" spans="1:6">
      <c r="B3" s="18" t="s">
        <v>577</v>
      </c>
    </row>
    <row r="4" spans="1:6">
      <c r="A4" s="18" t="s">
        <v>574</v>
      </c>
      <c r="B4" t="s">
        <v>586</v>
      </c>
      <c r="C4" t="s">
        <v>587</v>
      </c>
      <c r="D4" t="s">
        <v>588</v>
      </c>
      <c r="E4" t="s">
        <v>589</v>
      </c>
      <c r="F4" t="s">
        <v>590</v>
      </c>
    </row>
    <row r="5" spans="1:6">
      <c r="A5" s="19" t="s">
        <v>8</v>
      </c>
      <c r="B5" s="20">
        <v>883133.33333333337</v>
      </c>
      <c r="C5" s="20">
        <v>3627000</v>
      </c>
      <c r="D5" s="20">
        <v>150</v>
      </c>
      <c r="E5" s="20">
        <v>151838000</v>
      </c>
      <c r="F5" s="8">
        <v>0.33896420781922859</v>
      </c>
    </row>
    <row r="6" spans="1:6">
      <c r="A6" s="19" t="s">
        <v>273</v>
      </c>
      <c r="B6" s="20">
        <v>742906.66666666663</v>
      </c>
      <c r="C6" s="20">
        <v>1790000</v>
      </c>
      <c r="D6" s="20">
        <v>75</v>
      </c>
      <c r="E6" s="20">
        <v>64233000</v>
      </c>
      <c r="F6" s="8">
        <v>0.14339419618838836</v>
      </c>
    </row>
    <row r="7" spans="1:6">
      <c r="A7" s="19" t="s">
        <v>355</v>
      </c>
      <c r="B7" s="20">
        <v>668960</v>
      </c>
      <c r="C7" s="20">
        <v>1176000</v>
      </c>
      <c r="D7" s="20">
        <v>50</v>
      </c>
      <c r="E7" s="20">
        <v>38638000</v>
      </c>
      <c r="F7" s="8">
        <v>8.6255740076392973E-2</v>
      </c>
    </row>
    <row r="8" spans="1:6">
      <c r="A8" s="19" t="s">
        <v>412</v>
      </c>
      <c r="B8" s="20">
        <v>727976</v>
      </c>
      <c r="C8" s="20">
        <v>3067000</v>
      </c>
      <c r="D8" s="20">
        <v>125</v>
      </c>
      <c r="E8" s="20">
        <v>104851000</v>
      </c>
      <c r="F8" s="8">
        <v>0.2340701020433221</v>
      </c>
    </row>
    <row r="9" spans="1:6">
      <c r="A9" s="19" t="s">
        <v>167</v>
      </c>
      <c r="B9" s="20">
        <v>766490</v>
      </c>
      <c r="C9" s="20">
        <v>2432000</v>
      </c>
      <c r="D9" s="20">
        <v>100</v>
      </c>
      <c r="E9" s="20">
        <v>88387000</v>
      </c>
      <c r="F9" s="8">
        <v>0.19731575387266798</v>
      </c>
    </row>
    <row r="10" spans="1:6">
      <c r="A10" s="19" t="s">
        <v>575</v>
      </c>
      <c r="B10" s="20">
        <v>778564</v>
      </c>
      <c r="C10" s="20">
        <v>12092000</v>
      </c>
      <c r="D10" s="20">
        <v>500</v>
      </c>
      <c r="E10" s="20">
        <v>447947000</v>
      </c>
      <c r="F10" s="8">
        <v>1</v>
      </c>
    </row>
  </sheetData>
  <conditionalFormatting sqref="E1:E1048576">
    <cfRule type="top10" dxfId="0" priority="1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1"/>
  <sheetViews>
    <sheetView workbookViewId="0">
      <pane ySplit="1" topLeftCell="A472" activePane="bottomLeft" state="frozen"/>
      <selection pane="bottomLeft" activeCell="I9" sqref="I9"/>
    </sheetView>
  </sheetViews>
  <sheetFormatPr defaultRowHeight="14.4"/>
  <cols>
    <col min="1" max="1" width="14" style="7" customWidth="1"/>
    <col min="2" max="2" width="18" style="7" customWidth="1"/>
    <col min="3" max="3" width="22.33203125" customWidth="1"/>
    <col min="4" max="4" width="12.44140625" style="7" customWidth="1"/>
    <col min="5" max="5" width="10" customWidth="1"/>
    <col min="6" max="6" width="11" customWidth="1"/>
    <col min="7" max="7" width="16" customWidth="1"/>
    <col min="8" max="8" width="9" customWidth="1"/>
    <col min="9" max="9" width="17.88671875" customWidth="1"/>
    <col min="10" max="10" width="12.77734375" customWidth="1"/>
  </cols>
  <sheetData>
    <row r="1" spans="1:10">
      <c r="A1" s="1" t="s">
        <v>0</v>
      </c>
      <c r="B1" s="1" t="s">
        <v>1</v>
      </c>
      <c r="C1" s="1" t="s">
        <v>2</v>
      </c>
      <c r="D1" s="5" t="s">
        <v>551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549</v>
      </c>
      <c r="J1" s="4" t="s">
        <v>550</v>
      </c>
    </row>
    <row r="2" spans="1:10">
      <c r="A2" s="7" t="s">
        <v>7</v>
      </c>
      <c r="B2" s="7" t="s">
        <v>8</v>
      </c>
      <c r="C2" t="s">
        <v>9</v>
      </c>
      <c r="D2" s="7" t="str">
        <f>IF(OR(ISNUMBER(SEARCH("Manager",C2)),ISNUMBER(SEARCH("Controller",C2))),"Leadership",IF(OR(ISNUMBER(SEARCH("Senior",C2)),ISNUMBER(SEARCH("Regional",C2))),"Senior",IF(OR(ISNUMBER(SEARCH("Engineer",C2)),ISNUMBER(SEARCH("Analyst",C2)),ISNUMBER(SEARCH("Specialist",C2)),ISNUMBER(SEARCH("Business Partner",C2)),ISNUMBER(SEARCH("Account Manager",C2))),"Mid","Entry")))</f>
        <v>Mid</v>
      </c>
      <c r="E2" s="2">
        <v>815000</v>
      </c>
      <c r="F2" s="2">
        <v>90000</v>
      </c>
      <c r="G2" s="2">
        <v>22000</v>
      </c>
      <c r="H2" t="s">
        <v>10</v>
      </c>
      <c r="I2" s="2">
        <f>E2+F2</f>
        <v>905000</v>
      </c>
      <c r="J2" s="2">
        <f>I2+G2</f>
        <v>927000</v>
      </c>
    </row>
    <row r="3" spans="1:10">
      <c r="A3" s="7" t="s">
        <v>11</v>
      </c>
      <c r="B3" s="7" t="s">
        <v>8</v>
      </c>
      <c r="C3" t="s">
        <v>12</v>
      </c>
      <c r="D3" s="7" t="str">
        <f t="shared" ref="D3:D66" si="0">IF(OR(ISNUMBER(SEARCH("Manager",C3)),ISNUMBER(SEARCH("Controller",C3))),"Leadership",IF(OR(ISNUMBER(SEARCH("Senior",C3)),ISNUMBER(SEARCH("Regional",C3))),"Senior",IF(OR(ISNUMBER(SEARCH("Engineer",C3)),ISNUMBER(SEARCH("Analyst",C3)),ISNUMBER(SEARCH("Specialist",C3)),ISNUMBER(SEARCH("Business Partner",C3)),ISNUMBER(SEARCH("Account Manager",C3))),"Mid","Entry")))</f>
        <v>Mid</v>
      </c>
      <c r="E3" s="2">
        <v>765000</v>
      </c>
      <c r="F3" s="2">
        <v>93000</v>
      </c>
      <c r="G3" s="2">
        <v>30000</v>
      </c>
      <c r="H3" t="s">
        <v>13</v>
      </c>
      <c r="I3" s="2">
        <f t="shared" ref="I3:I66" si="1">E3+F3</f>
        <v>858000</v>
      </c>
      <c r="J3" s="2">
        <f t="shared" ref="J3:J66" si="2">I3+G3</f>
        <v>888000</v>
      </c>
    </row>
    <row r="4" spans="1:10">
      <c r="A4" s="7" t="s">
        <v>14</v>
      </c>
      <c r="B4" s="7" t="s">
        <v>8</v>
      </c>
      <c r="C4" t="s">
        <v>12</v>
      </c>
      <c r="D4" s="7" t="str">
        <f t="shared" si="0"/>
        <v>Mid</v>
      </c>
      <c r="E4" s="2">
        <v>685000</v>
      </c>
      <c r="F4" s="2">
        <v>85000</v>
      </c>
      <c r="G4" s="2">
        <v>22000</v>
      </c>
      <c r="H4" t="s">
        <v>10</v>
      </c>
      <c r="I4" s="2">
        <f t="shared" si="1"/>
        <v>770000</v>
      </c>
      <c r="J4" s="2">
        <f t="shared" si="2"/>
        <v>792000</v>
      </c>
    </row>
    <row r="5" spans="1:10">
      <c r="A5" s="7" t="s">
        <v>15</v>
      </c>
      <c r="B5" s="7" t="s">
        <v>8</v>
      </c>
      <c r="C5" t="s">
        <v>9</v>
      </c>
      <c r="D5" s="7" t="str">
        <f t="shared" si="0"/>
        <v>Mid</v>
      </c>
      <c r="E5" s="2">
        <v>893000</v>
      </c>
      <c r="F5" s="2">
        <v>105000</v>
      </c>
      <c r="G5" s="2">
        <v>25000</v>
      </c>
      <c r="H5" t="s">
        <v>10</v>
      </c>
      <c r="I5" s="2">
        <f t="shared" si="1"/>
        <v>998000</v>
      </c>
      <c r="J5" s="2">
        <f t="shared" si="2"/>
        <v>1023000</v>
      </c>
    </row>
    <row r="6" spans="1:10">
      <c r="A6" s="7" t="s">
        <v>16</v>
      </c>
      <c r="B6" s="7" t="s">
        <v>8</v>
      </c>
      <c r="C6" t="s">
        <v>12</v>
      </c>
      <c r="D6" s="7" t="str">
        <f t="shared" si="0"/>
        <v>Mid</v>
      </c>
      <c r="E6" s="2">
        <v>776000</v>
      </c>
      <c r="F6" s="2">
        <v>99000</v>
      </c>
      <c r="G6" s="2">
        <v>28000</v>
      </c>
      <c r="H6" t="s">
        <v>10</v>
      </c>
      <c r="I6" s="2">
        <f t="shared" si="1"/>
        <v>875000</v>
      </c>
      <c r="J6" s="2">
        <f t="shared" si="2"/>
        <v>903000</v>
      </c>
    </row>
    <row r="7" spans="1:10">
      <c r="A7" s="7" t="s">
        <v>17</v>
      </c>
      <c r="B7" s="7" t="s">
        <v>8</v>
      </c>
      <c r="C7" t="s">
        <v>12</v>
      </c>
      <c r="D7" s="7" t="str">
        <f t="shared" si="0"/>
        <v>Mid</v>
      </c>
      <c r="E7" s="2">
        <v>769000</v>
      </c>
      <c r="F7" s="2">
        <v>80000</v>
      </c>
      <c r="G7" s="2">
        <v>30000</v>
      </c>
      <c r="H7" t="s">
        <v>10</v>
      </c>
      <c r="I7" s="2">
        <f t="shared" si="1"/>
        <v>849000</v>
      </c>
      <c r="J7" s="2">
        <f t="shared" si="2"/>
        <v>879000</v>
      </c>
    </row>
    <row r="8" spans="1:10">
      <c r="A8" s="7" t="s">
        <v>18</v>
      </c>
      <c r="B8" s="7" t="s">
        <v>8</v>
      </c>
      <c r="C8" t="s">
        <v>19</v>
      </c>
      <c r="D8" s="7" t="str">
        <f t="shared" si="0"/>
        <v>Mid</v>
      </c>
      <c r="E8" s="2">
        <v>878000</v>
      </c>
      <c r="F8" s="2">
        <v>116000</v>
      </c>
      <c r="G8" s="2">
        <v>35000</v>
      </c>
      <c r="H8" t="s">
        <v>10</v>
      </c>
      <c r="I8" s="2">
        <f t="shared" si="1"/>
        <v>994000</v>
      </c>
      <c r="J8" s="2">
        <f t="shared" si="2"/>
        <v>1029000</v>
      </c>
    </row>
    <row r="9" spans="1:10">
      <c r="A9" s="7" t="s">
        <v>20</v>
      </c>
      <c r="B9" s="7" t="s">
        <v>8</v>
      </c>
      <c r="C9" t="s">
        <v>21</v>
      </c>
      <c r="D9" s="7" t="str">
        <f t="shared" si="0"/>
        <v>Leadership</v>
      </c>
      <c r="E9" s="2">
        <v>1426000</v>
      </c>
      <c r="F9" s="2">
        <v>174000</v>
      </c>
      <c r="G9" s="2">
        <v>28000</v>
      </c>
      <c r="H9" t="s">
        <v>10</v>
      </c>
      <c r="I9" s="2">
        <f t="shared" si="1"/>
        <v>1600000</v>
      </c>
      <c r="J9" s="2">
        <f t="shared" si="2"/>
        <v>1628000</v>
      </c>
    </row>
    <row r="10" spans="1:10">
      <c r="A10" s="7" t="s">
        <v>22</v>
      </c>
      <c r="B10" s="7" t="s">
        <v>8</v>
      </c>
      <c r="C10" t="s">
        <v>9</v>
      </c>
      <c r="D10" s="7" t="str">
        <f t="shared" si="0"/>
        <v>Mid</v>
      </c>
      <c r="E10" s="2">
        <v>819000</v>
      </c>
      <c r="F10" s="2">
        <v>89000</v>
      </c>
      <c r="G10" s="2">
        <v>25000</v>
      </c>
      <c r="H10" t="s">
        <v>10</v>
      </c>
      <c r="I10" s="2">
        <f t="shared" si="1"/>
        <v>908000</v>
      </c>
      <c r="J10" s="2">
        <f t="shared" si="2"/>
        <v>933000</v>
      </c>
    </row>
    <row r="11" spans="1:10">
      <c r="A11" s="7" t="s">
        <v>23</v>
      </c>
      <c r="B11" s="7" t="s">
        <v>8</v>
      </c>
      <c r="C11" t="s">
        <v>24</v>
      </c>
      <c r="D11" s="7" t="str">
        <f t="shared" si="0"/>
        <v>Mid</v>
      </c>
      <c r="E11" s="2">
        <v>709000</v>
      </c>
      <c r="F11" s="2">
        <v>82000</v>
      </c>
      <c r="G11" s="2">
        <v>35000</v>
      </c>
      <c r="H11" t="s">
        <v>10</v>
      </c>
      <c r="I11" s="2">
        <f t="shared" si="1"/>
        <v>791000</v>
      </c>
      <c r="J11" s="2">
        <f t="shared" si="2"/>
        <v>826000</v>
      </c>
    </row>
    <row r="12" spans="1:10">
      <c r="A12" s="7" t="s">
        <v>25</v>
      </c>
      <c r="B12" s="7" t="s">
        <v>8</v>
      </c>
      <c r="C12" t="s">
        <v>26</v>
      </c>
      <c r="D12" s="7" t="str">
        <f t="shared" si="0"/>
        <v>Senior</v>
      </c>
      <c r="E12" s="2">
        <v>1080000</v>
      </c>
      <c r="F12" s="2">
        <v>117000</v>
      </c>
      <c r="G12" s="2">
        <v>25000</v>
      </c>
      <c r="H12" t="s">
        <v>10</v>
      </c>
      <c r="I12" s="2">
        <f t="shared" si="1"/>
        <v>1197000</v>
      </c>
      <c r="J12" s="2">
        <f t="shared" si="2"/>
        <v>1222000</v>
      </c>
    </row>
    <row r="13" spans="1:10">
      <c r="A13" s="7" t="s">
        <v>27</v>
      </c>
      <c r="B13" s="7" t="s">
        <v>8</v>
      </c>
      <c r="C13" t="s">
        <v>9</v>
      </c>
      <c r="D13" s="7" t="str">
        <f t="shared" si="0"/>
        <v>Mid</v>
      </c>
      <c r="E13" s="2">
        <v>824000</v>
      </c>
      <c r="F13" s="2">
        <v>103000</v>
      </c>
      <c r="G13" s="2">
        <v>22000</v>
      </c>
      <c r="H13" t="s">
        <v>10</v>
      </c>
      <c r="I13" s="2">
        <f t="shared" si="1"/>
        <v>927000</v>
      </c>
      <c r="J13" s="2">
        <f t="shared" si="2"/>
        <v>949000</v>
      </c>
    </row>
    <row r="14" spans="1:10">
      <c r="A14" s="7" t="s">
        <v>28</v>
      </c>
      <c r="B14" s="7" t="s">
        <v>8</v>
      </c>
      <c r="C14" t="s">
        <v>26</v>
      </c>
      <c r="D14" s="7" t="str">
        <f t="shared" si="0"/>
        <v>Senior</v>
      </c>
      <c r="E14" s="2">
        <v>1229000</v>
      </c>
      <c r="F14" s="2">
        <v>154000</v>
      </c>
      <c r="G14" s="2">
        <v>22000</v>
      </c>
      <c r="H14" t="s">
        <v>10</v>
      </c>
      <c r="I14" s="2">
        <f t="shared" si="1"/>
        <v>1383000</v>
      </c>
      <c r="J14" s="2">
        <f t="shared" si="2"/>
        <v>1405000</v>
      </c>
    </row>
    <row r="15" spans="1:10">
      <c r="A15" s="7" t="s">
        <v>29</v>
      </c>
      <c r="B15" s="7" t="s">
        <v>8</v>
      </c>
      <c r="C15" t="s">
        <v>19</v>
      </c>
      <c r="D15" s="7" t="str">
        <f t="shared" si="0"/>
        <v>Mid</v>
      </c>
      <c r="E15" s="2">
        <v>910000</v>
      </c>
      <c r="F15" s="2">
        <v>99000</v>
      </c>
      <c r="G15" s="2">
        <v>15000</v>
      </c>
      <c r="H15" t="s">
        <v>10</v>
      </c>
      <c r="I15" s="2">
        <f t="shared" si="1"/>
        <v>1009000</v>
      </c>
      <c r="J15" s="2">
        <f t="shared" si="2"/>
        <v>1024000</v>
      </c>
    </row>
    <row r="16" spans="1:10">
      <c r="A16" s="7" t="s">
        <v>30</v>
      </c>
      <c r="B16" s="7" t="s">
        <v>8</v>
      </c>
      <c r="C16" t="s">
        <v>26</v>
      </c>
      <c r="D16" s="7" t="str">
        <f t="shared" si="0"/>
        <v>Senior</v>
      </c>
      <c r="E16" s="2">
        <v>1006000</v>
      </c>
      <c r="F16" s="2">
        <v>137000</v>
      </c>
      <c r="G16" s="2">
        <v>28000</v>
      </c>
      <c r="H16" t="s">
        <v>10</v>
      </c>
      <c r="I16" s="2">
        <f t="shared" si="1"/>
        <v>1143000</v>
      </c>
      <c r="J16" s="2">
        <f t="shared" si="2"/>
        <v>1171000</v>
      </c>
    </row>
    <row r="17" spans="1:10">
      <c r="A17" s="7" t="s">
        <v>31</v>
      </c>
      <c r="B17" s="7" t="s">
        <v>8</v>
      </c>
      <c r="C17" t="s">
        <v>26</v>
      </c>
      <c r="D17" s="7" t="str">
        <f t="shared" si="0"/>
        <v>Senior</v>
      </c>
      <c r="E17" s="2">
        <v>1204000</v>
      </c>
      <c r="F17" s="2">
        <v>151000</v>
      </c>
      <c r="G17" s="2">
        <v>20000</v>
      </c>
      <c r="H17" t="s">
        <v>10</v>
      </c>
      <c r="I17" s="2">
        <f t="shared" si="1"/>
        <v>1355000</v>
      </c>
      <c r="J17" s="2">
        <f t="shared" si="2"/>
        <v>1375000</v>
      </c>
    </row>
    <row r="18" spans="1:10">
      <c r="A18" s="7" t="s">
        <v>32</v>
      </c>
      <c r="B18" s="7" t="s">
        <v>8</v>
      </c>
      <c r="C18" t="s">
        <v>12</v>
      </c>
      <c r="D18" s="7" t="str">
        <f t="shared" si="0"/>
        <v>Mid</v>
      </c>
      <c r="E18" s="2">
        <v>737000</v>
      </c>
      <c r="F18" s="2">
        <v>81000</v>
      </c>
      <c r="G18" s="2">
        <v>30000</v>
      </c>
      <c r="H18" t="s">
        <v>10</v>
      </c>
      <c r="I18" s="2">
        <f t="shared" si="1"/>
        <v>818000</v>
      </c>
      <c r="J18" s="2">
        <f t="shared" si="2"/>
        <v>848000</v>
      </c>
    </row>
    <row r="19" spans="1:10">
      <c r="A19" s="7" t="s">
        <v>33</v>
      </c>
      <c r="B19" s="7" t="s">
        <v>8</v>
      </c>
      <c r="C19" t="s">
        <v>26</v>
      </c>
      <c r="D19" s="7" t="str">
        <f t="shared" si="0"/>
        <v>Senior</v>
      </c>
      <c r="E19" s="2">
        <v>1043000</v>
      </c>
      <c r="F19" s="2">
        <v>146000</v>
      </c>
      <c r="G19" s="2">
        <v>35000</v>
      </c>
      <c r="H19" t="s">
        <v>10</v>
      </c>
      <c r="I19" s="2">
        <f t="shared" si="1"/>
        <v>1189000</v>
      </c>
      <c r="J19" s="2">
        <f t="shared" si="2"/>
        <v>1224000</v>
      </c>
    </row>
    <row r="20" spans="1:10">
      <c r="A20" s="7" t="s">
        <v>34</v>
      </c>
      <c r="B20" s="7" t="s">
        <v>8</v>
      </c>
      <c r="C20" t="s">
        <v>12</v>
      </c>
      <c r="D20" s="7" t="str">
        <f t="shared" si="0"/>
        <v>Mid</v>
      </c>
      <c r="E20" s="2">
        <v>665000</v>
      </c>
      <c r="F20" s="2">
        <v>83000</v>
      </c>
      <c r="G20" s="2">
        <v>30000</v>
      </c>
      <c r="H20" t="s">
        <v>10</v>
      </c>
      <c r="I20" s="2">
        <f t="shared" si="1"/>
        <v>748000</v>
      </c>
      <c r="J20" s="2">
        <f t="shared" si="2"/>
        <v>778000</v>
      </c>
    </row>
    <row r="21" spans="1:10">
      <c r="A21" s="7" t="s">
        <v>35</v>
      </c>
      <c r="B21" s="7" t="s">
        <v>8</v>
      </c>
      <c r="C21" t="s">
        <v>26</v>
      </c>
      <c r="D21" s="7" t="str">
        <f t="shared" si="0"/>
        <v>Senior</v>
      </c>
      <c r="E21" s="2">
        <v>1134000</v>
      </c>
      <c r="F21" s="2">
        <v>135000</v>
      </c>
      <c r="G21" s="2">
        <v>25000</v>
      </c>
      <c r="H21" t="s">
        <v>10</v>
      </c>
      <c r="I21" s="2">
        <f t="shared" si="1"/>
        <v>1269000</v>
      </c>
      <c r="J21" s="2">
        <f t="shared" si="2"/>
        <v>1294000</v>
      </c>
    </row>
    <row r="22" spans="1:10">
      <c r="A22" s="7" t="s">
        <v>36</v>
      </c>
      <c r="B22" s="7" t="s">
        <v>8</v>
      </c>
      <c r="C22" t="s">
        <v>24</v>
      </c>
      <c r="D22" s="7" t="str">
        <f t="shared" si="0"/>
        <v>Mid</v>
      </c>
      <c r="E22" s="2">
        <v>587000</v>
      </c>
      <c r="F22" s="2">
        <v>76000</v>
      </c>
      <c r="G22" s="2">
        <v>25000</v>
      </c>
      <c r="H22" t="s">
        <v>10</v>
      </c>
      <c r="I22" s="2">
        <f t="shared" si="1"/>
        <v>663000</v>
      </c>
      <c r="J22" s="2">
        <f t="shared" si="2"/>
        <v>688000</v>
      </c>
    </row>
    <row r="23" spans="1:10">
      <c r="A23" s="7" t="s">
        <v>37</v>
      </c>
      <c r="B23" s="7" t="s">
        <v>8</v>
      </c>
      <c r="C23" t="s">
        <v>26</v>
      </c>
      <c r="D23" s="7" t="str">
        <f t="shared" si="0"/>
        <v>Senior</v>
      </c>
      <c r="E23" s="2">
        <v>1061000</v>
      </c>
      <c r="F23" s="2">
        <v>113000</v>
      </c>
      <c r="G23" s="2">
        <v>15000</v>
      </c>
      <c r="H23" t="s">
        <v>10</v>
      </c>
      <c r="I23" s="2">
        <f t="shared" si="1"/>
        <v>1174000</v>
      </c>
      <c r="J23" s="2">
        <f t="shared" si="2"/>
        <v>1189000</v>
      </c>
    </row>
    <row r="24" spans="1:10">
      <c r="A24" s="7" t="s">
        <v>38</v>
      </c>
      <c r="B24" s="7" t="s">
        <v>8</v>
      </c>
      <c r="C24" t="s">
        <v>24</v>
      </c>
      <c r="D24" s="7" t="str">
        <f t="shared" si="0"/>
        <v>Mid</v>
      </c>
      <c r="E24" s="2">
        <v>623000</v>
      </c>
      <c r="F24" s="2">
        <v>75000</v>
      </c>
      <c r="G24" s="2">
        <v>20000</v>
      </c>
      <c r="H24" t="s">
        <v>10</v>
      </c>
      <c r="I24" s="2">
        <f t="shared" si="1"/>
        <v>698000</v>
      </c>
      <c r="J24" s="2">
        <f t="shared" si="2"/>
        <v>718000</v>
      </c>
    </row>
    <row r="25" spans="1:10">
      <c r="A25" s="7" t="s">
        <v>39</v>
      </c>
      <c r="B25" s="7" t="s">
        <v>8</v>
      </c>
      <c r="C25" t="s">
        <v>12</v>
      </c>
      <c r="D25" s="7" t="str">
        <f t="shared" si="0"/>
        <v>Mid</v>
      </c>
      <c r="E25" s="2">
        <v>747000</v>
      </c>
      <c r="F25" s="2">
        <v>100000</v>
      </c>
      <c r="G25" s="2">
        <v>22000</v>
      </c>
      <c r="H25" t="s">
        <v>10</v>
      </c>
      <c r="I25" s="2">
        <f t="shared" si="1"/>
        <v>847000</v>
      </c>
      <c r="J25" s="2">
        <f t="shared" si="2"/>
        <v>869000</v>
      </c>
    </row>
    <row r="26" spans="1:10">
      <c r="A26" s="7" t="s">
        <v>40</v>
      </c>
      <c r="B26" s="7" t="s">
        <v>8</v>
      </c>
      <c r="C26" t="s">
        <v>19</v>
      </c>
      <c r="D26" s="7" t="str">
        <f t="shared" si="0"/>
        <v>Mid</v>
      </c>
      <c r="E26" s="2">
        <v>866000</v>
      </c>
      <c r="F26" s="2">
        <v>114000</v>
      </c>
      <c r="G26" s="2">
        <v>15000</v>
      </c>
      <c r="H26" t="s">
        <v>10</v>
      </c>
      <c r="I26" s="2">
        <f t="shared" si="1"/>
        <v>980000</v>
      </c>
      <c r="J26" s="2">
        <f t="shared" si="2"/>
        <v>995000</v>
      </c>
    </row>
    <row r="27" spans="1:10">
      <c r="A27" s="7" t="s">
        <v>41</v>
      </c>
      <c r="B27" s="7" t="s">
        <v>8</v>
      </c>
      <c r="C27" t="s">
        <v>26</v>
      </c>
      <c r="D27" s="7" t="str">
        <f t="shared" si="0"/>
        <v>Senior</v>
      </c>
      <c r="E27" s="2">
        <v>1017000</v>
      </c>
      <c r="F27" s="2">
        <v>116000</v>
      </c>
      <c r="G27" s="2">
        <v>25000</v>
      </c>
      <c r="H27" t="s">
        <v>10</v>
      </c>
      <c r="I27" s="2">
        <f t="shared" si="1"/>
        <v>1133000</v>
      </c>
      <c r="J27" s="2">
        <f t="shared" si="2"/>
        <v>1158000</v>
      </c>
    </row>
    <row r="28" spans="1:10">
      <c r="A28" s="7" t="s">
        <v>42</v>
      </c>
      <c r="B28" s="7" t="s">
        <v>8</v>
      </c>
      <c r="C28" t="s">
        <v>12</v>
      </c>
      <c r="D28" s="7" t="str">
        <f t="shared" si="0"/>
        <v>Mid</v>
      </c>
      <c r="E28" s="2">
        <v>738000</v>
      </c>
      <c r="F28" s="2">
        <v>76000</v>
      </c>
      <c r="G28" s="2">
        <v>35000</v>
      </c>
      <c r="H28" t="s">
        <v>10</v>
      </c>
      <c r="I28" s="2">
        <f t="shared" si="1"/>
        <v>814000</v>
      </c>
      <c r="J28" s="2">
        <f t="shared" si="2"/>
        <v>849000</v>
      </c>
    </row>
    <row r="29" spans="1:10">
      <c r="A29" s="7" t="s">
        <v>43</v>
      </c>
      <c r="B29" s="7" t="s">
        <v>8</v>
      </c>
      <c r="C29" t="s">
        <v>21</v>
      </c>
      <c r="D29" s="7" t="str">
        <f t="shared" si="0"/>
        <v>Leadership</v>
      </c>
      <c r="E29" s="2">
        <v>1475000</v>
      </c>
      <c r="F29" s="2">
        <v>155000</v>
      </c>
      <c r="G29" s="2">
        <v>35000</v>
      </c>
      <c r="H29" t="s">
        <v>10</v>
      </c>
      <c r="I29" s="2">
        <f t="shared" si="1"/>
        <v>1630000</v>
      </c>
      <c r="J29" s="2">
        <f t="shared" si="2"/>
        <v>1665000</v>
      </c>
    </row>
    <row r="30" spans="1:10">
      <c r="A30" s="7" t="s">
        <v>44</v>
      </c>
      <c r="B30" s="7" t="s">
        <v>8</v>
      </c>
      <c r="C30" t="s">
        <v>12</v>
      </c>
      <c r="D30" s="7" t="str">
        <f t="shared" si="0"/>
        <v>Mid</v>
      </c>
      <c r="E30" s="2">
        <v>732000</v>
      </c>
      <c r="F30" s="2">
        <v>91000</v>
      </c>
      <c r="G30" s="2">
        <v>22000</v>
      </c>
      <c r="H30" t="s">
        <v>10</v>
      </c>
      <c r="I30" s="2">
        <f t="shared" si="1"/>
        <v>823000</v>
      </c>
      <c r="J30" s="2">
        <f t="shared" si="2"/>
        <v>845000</v>
      </c>
    </row>
    <row r="31" spans="1:10">
      <c r="A31" s="7" t="s">
        <v>45</v>
      </c>
      <c r="B31" s="7" t="s">
        <v>8</v>
      </c>
      <c r="C31" t="s">
        <v>19</v>
      </c>
      <c r="D31" s="7" t="str">
        <f t="shared" si="0"/>
        <v>Mid</v>
      </c>
      <c r="E31" s="2">
        <v>894000</v>
      </c>
      <c r="F31" s="2">
        <v>115000</v>
      </c>
      <c r="G31" s="2">
        <v>30000</v>
      </c>
      <c r="H31" t="s">
        <v>10</v>
      </c>
      <c r="I31" s="2">
        <f t="shared" si="1"/>
        <v>1009000</v>
      </c>
      <c r="J31" s="2">
        <f t="shared" si="2"/>
        <v>1039000</v>
      </c>
    </row>
    <row r="32" spans="1:10">
      <c r="A32" s="7" t="s">
        <v>46</v>
      </c>
      <c r="B32" s="7" t="s">
        <v>8</v>
      </c>
      <c r="C32" t="s">
        <v>9</v>
      </c>
      <c r="D32" s="7" t="str">
        <f t="shared" si="0"/>
        <v>Mid</v>
      </c>
      <c r="E32" s="2">
        <v>897000</v>
      </c>
      <c r="F32" s="2">
        <v>108000</v>
      </c>
      <c r="G32" s="2">
        <v>18000</v>
      </c>
      <c r="H32" t="s">
        <v>10</v>
      </c>
      <c r="I32" s="2">
        <f t="shared" si="1"/>
        <v>1005000</v>
      </c>
      <c r="J32" s="2">
        <f t="shared" si="2"/>
        <v>1023000</v>
      </c>
    </row>
    <row r="33" spans="1:10">
      <c r="A33" s="7" t="s">
        <v>47</v>
      </c>
      <c r="B33" s="7" t="s">
        <v>8</v>
      </c>
      <c r="C33" t="s">
        <v>12</v>
      </c>
      <c r="D33" s="7" t="str">
        <f t="shared" si="0"/>
        <v>Mid</v>
      </c>
      <c r="E33" s="2">
        <v>651000</v>
      </c>
      <c r="F33" s="2">
        <v>80000</v>
      </c>
      <c r="G33" s="2">
        <v>22000</v>
      </c>
      <c r="H33" t="s">
        <v>13</v>
      </c>
      <c r="I33" s="2">
        <f t="shared" si="1"/>
        <v>731000</v>
      </c>
      <c r="J33" s="2">
        <f t="shared" si="2"/>
        <v>753000</v>
      </c>
    </row>
    <row r="34" spans="1:10">
      <c r="A34" s="7" t="s">
        <v>48</v>
      </c>
      <c r="B34" s="7" t="s">
        <v>8</v>
      </c>
      <c r="C34" t="s">
        <v>19</v>
      </c>
      <c r="D34" s="7" t="str">
        <f t="shared" si="0"/>
        <v>Mid</v>
      </c>
      <c r="E34" s="2">
        <v>776000</v>
      </c>
      <c r="F34" s="2">
        <v>80000</v>
      </c>
      <c r="G34" s="2">
        <v>15000</v>
      </c>
      <c r="H34" t="s">
        <v>10</v>
      </c>
      <c r="I34" s="2">
        <f t="shared" si="1"/>
        <v>856000</v>
      </c>
      <c r="J34" s="2">
        <f t="shared" si="2"/>
        <v>871000</v>
      </c>
    </row>
    <row r="35" spans="1:10">
      <c r="A35" s="7" t="s">
        <v>49</v>
      </c>
      <c r="B35" s="7" t="s">
        <v>8</v>
      </c>
      <c r="C35" t="s">
        <v>12</v>
      </c>
      <c r="D35" s="7" t="str">
        <f t="shared" si="0"/>
        <v>Mid</v>
      </c>
      <c r="E35" s="2">
        <v>686000</v>
      </c>
      <c r="F35" s="2">
        <v>87000</v>
      </c>
      <c r="G35" s="2">
        <v>22000</v>
      </c>
      <c r="H35" t="s">
        <v>10</v>
      </c>
      <c r="I35" s="2">
        <f t="shared" si="1"/>
        <v>773000</v>
      </c>
      <c r="J35" s="2">
        <f t="shared" si="2"/>
        <v>795000</v>
      </c>
    </row>
    <row r="36" spans="1:10">
      <c r="A36" s="7" t="s">
        <v>50</v>
      </c>
      <c r="B36" s="7" t="s">
        <v>8</v>
      </c>
      <c r="C36" t="s">
        <v>19</v>
      </c>
      <c r="D36" s="7" t="str">
        <f t="shared" si="0"/>
        <v>Mid</v>
      </c>
      <c r="E36" s="2">
        <v>930000</v>
      </c>
      <c r="F36" s="2">
        <v>114000</v>
      </c>
      <c r="G36" s="2">
        <v>22000</v>
      </c>
      <c r="H36" t="s">
        <v>10</v>
      </c>
      <c r="I36" s="2">
        <f t="shared" si="1"/>
        <v>1044000</v>
      </c>
      <c r="J36" s="2">
        <f t="shared" si="2"/>
        <v>1066000</v>
      </c>
    </row>
    <row r="37" spans="1:10">
      <c r="A37" s="7" t="s">
        <v>51</v>
      </c>
      <c r="B37" s="7" t="s">
        <v>8</v>
      </c>
      <c r="C37" t="s">
        <v>19</v>
      </c>
      <c r="D37" s="7" t="str">
        <f t="shared" si="0"/>
        <v>Mid</v>
      </c>
      <c r="E37" s="2">
        <v>801000</v>
      </c>
      <c r="F37" s="2">
        <v>83000</v>
      </c>
      <c r="G37" s="2">
        <v>30000</v>
      </c>
      <c r="H37" t="s">
        <v>10</v>
      </c>
      <c r="I37" s="2">
        <f t="shared" si="1"/>
        <v>884000</v>
      </c>
      <c r="J37" s="2">
        <f t="shared" si="2"/>
        <v>914000</v>
      </c>
    </row>
    <row r="38" spans="1:10">
      <c r="A38" s="7" t="s">
        <v>52</v>
      </c>
      <c r="B38" s="7" t="s">
        <v>8</v>
      </c>
      <c r="C38" t="s">
        <v>26</v>
      </c>
      <c r="D38" s="7" t="str">
        <f t="shared" si="0"/>
        <v>Senior</v>
      </c>
      <c r="E38" s="2">
        <v>1199000</v>
      </c>
      <c r="F38" s="2">
        <v>122000</v>
      </c>
      <c r="G38" s="2">
        <v>18000</v>
      </c>
      <c r="H38" t="s">
        <v>13</v>
      </c>
      <c r="I38" s="2">
        <f t="shared" si="1"/>
        <v>1321000</v>
      </c>
      <c r="J38" s="2">
        <f t="shared" si="2"/>
        <v>1339000</v>
      </c>
    </row>
    <row r="39" spans="1:10">
      <c r="A39" s="7" t="s">
        <v>53</v>
      </c>
      <c r="B39" s="7" t="s">
        <v>8</v>
      </c>
      <c r="C39" t="s">
        <v>19</v>
      </c>
      <c r="D39" s="7" t="str">
        <f t="shared" si="0"/>
        <v>Mid</v>
      </c>
      <c r="E39" s="2">
        <v>915000</v>
      </c>
      <c r="F39" s="2">
        <v>95000</v>
      </c>
      <c r="G39" s="2">
        <v>22000</v>
      </c>
      <c r="H39" t="s">
        <v>10</v>
      </c>
      <c r="I39" s="2">
        <f t="shared" si="1"/>
        <v>1010000</v>
      </c>
      <c r="J39" s="2">
        <f t="shared" si="2"/>
        <v>1032000</v>
      </c>
    </row>
    <row r="40" spans="1:10">
      <c r="A40" s="7" t="s">
        <v>54</v>
      </c>
      <c r="B40" s="7" t="s">
        <v>8</v>
      </c>
      <c r="C40" t="s">
        <v>26</v>
      </c>
      <c r="D40" s="7" t="str">
        <f t="shared" si="0"/>
        <v>Senior</v>
      </c>
      <c r="E40" s="2">
        <v>1092000</v>
      </c>
      <c r="F40" s="2">
        <v>121000</v>
      </c>
      <c r="G40" s="2">
        <v>22000</v>
      </c>
      <c r="H40" t="s">
        <v>10</v>
      </c>
      <c r="I40" s="2">
        <f t="shared" si="1"/>
        <v>1213000</v>
      </c>
      <c r="J40" s="2">
        <f t="shared" si="2"/>
        <v>1235000</v>
      </c>
    </row>
    <row r="41" spans="1:10">
      <c r="A41" s="7" t="s">
        <v>55</v>
      </c>
      <c r="B41" s="7" t="s">
        <v>8</v>
      </c>
      <c r="C41" t="s">
        <v>12</v>
      </c>
      <c r="D41" s="7" t="str">
        <f t="shared" si="0"/>
        <v>Mid</v>
      </c>
      <c r="E41" s="2">
        <v>776000</v>
      </c>
      <c r="F41" s="2">
        <v>104000</v>
      </c>
      <c r="G41" s="2">
        <v>18000</v>
      </c>
      <c r="H41" t="s">
        <v>13</v>
      </c>
      <c r="I41" s="2">
        <f t="shared" si="1"/>
        <v>880000</v>
      </c>
      <c r="J41" s="2">
        <f t="shared" si="2"/>
        <v>898000</v>
      </c>
    </row>
    <row r="42" spans="1:10">
      <c r="A42" s="7" t="s">
        <v>56</v>
      </c>
      <c r="B42" s="7" t="s">
        <v>8</v>
      </c>
      <c r="C42" t="s">
        <v>21</v>
      </c>
      <c r="D42" s="7" t="str">
        <f t="shared" si="0"/>
        <v>Leadership</v>
      </c>
      <c r="E42" s="2">
        <v>1572000</v>
      </c>
      <c r="F42" s="2">
        <v>218000</v>
      </c>
      <c r="G42" s="2">
        <v>22000</v>
      </c>
      <c r="H42" t="s">
        <v>10</v>
      </c>
      <c r="I42" s="2">
        <f t="shared" si="1"/>
        <v>1790000</v>
      </c>
      <c r="J42" s="2">
        <f t="shared" si="2"/>
        <v>1812000</v>
      </c>
    </row>
    <row r="43" spans="1:10">
      <c r="A43" s="7" t="s">
        <v>57</v>
      </c>
      <c r="B43" s="7" t="s">
        <v>8</v>
      </c>
      <c r="C43" t="s">
        <v>26</v>
      </c>
      <c r="D43" s="7" t="str">
        <f t="shared" si="0"/>
        <v>Senior</v>
      </c>
      <c r="E43" s="2">
        <v>1042000</v>
      </c>
      <c r="F43" s="2">
        <v>121000</v>
      </c>
      <c r="G43" s="2">
        <v>15000</v>
      </c>
      <c r="H43" t="s">
        <v>10</v>
      </c>
      <c r="I43" s="2">
        <f t="shared" si="1"/>
        <v>1163000</v>
      </c>
      <c r="J43" s="2">
        <f t="shared" si="2"/>
        <v>1178000</v>
      </c>
    </row>
    <row r="44" spans="1:10">
      <c r="A44" s="7" t="s">
        <v>58</v>
      </c>
      <c r="B44" s="7" t="s">
        <v>8</v>
      </c>
      <c r="C44" t="s">
        <v>12</v>
      </c>
      <c r="D44" s="7" t="str">
        <f t="shared" si="0"/>
        <v>Mid</v>
      </c>
      <c r="E44" s="2">
        <v>710000</v>
      </c>
      <c r="F44" s="2">
        <v>97000</v>
      </c>
      <c r="G44" s="2">
        <v>35000</v>
      </c>
      <c r="H44" t="s">
        <v>10</v>
      </c>
      <c r="I44" s="2">
        <f t="shared" si="1"/>
        <v>807000</v>
      </c>
      <c r="J44" s="2">
        <f t="shared" si="2"/>
        <v>842000</v>
      </c>
    </row>
    <row r="45" spans="1:10">
      <c r="A45" s="7" t="s">
        <v>59</v>
      </c>
      <c r="B45" s="7" t="s">
        <v>8</v>
      </c>
      <c r="C45" t="s">
        <v>9</v>
      </c>
      <c r="D45" s="7" t="str">
        <f t="shared" si="0"/>
        <v>Mid</v>
      </c>
      <c r="E45" s="2">
        <v>955000</v>
      </c>
      <c r="F45" s="2">
        <v>125000</v>
      </c>
      <c r="G45" s="2">
        <v>35000</v>
      </c>
      <c r="H45" t="s">
        <v>10</v>
      </c>
      <c r="I45" s="2">
        <f>E45+F45</f>
        <v>1080000</v>
      </c>
      <c r="J45" s="2">
        <f t="shared" si="2"/>
        <v>1115000</v>
      </c>
    </row>
    <row r="46" spans="1:10">
      <c r="A46" s="7" t="s">
        <v>60</v>
      </c>
      <c r="B46" s="7" t="s">
        <v>8</v>
      </c>
      <c r="C46" t="s">
        <v>26</v>
      </c>
      <c r="D46" s="7" t="str">
        <f t="shared" si="0"/>
        <v>Senior</v>
      </c>
      <c r="E46" s="2">
        <v>1224000</v>
      </c>
      <c r="F46" s="2">
        <v>151000</v>
      </c>
      <c r="G46" s="2">
        <v>15000</v>
      </c>
      <c r="H46" t="s">
        <v>10</v>
      </c>
      <c r="I46" s="2">
        <f t="shared" si="1"/>
        <v>1375000</v>
      </c>
      <c r="J46" s="2">
        <f t="shared" si="2"/>
        <v>1390000</v>
      </c>
    </row>
    <row r="47" spans="1:10">
      <c r="A47" s="7" t="s">
        <v>61</v>
      </c>
      <c r="B47" s="7" t="s">
        <v>8</v>
      </c>
      <c r="C47" t="s">
        <v>12</v>
      </c>
      <c r="D47" s="7" t="str">
        <f t="shared" si="0"/>
        <v>Mid</v>
      </c>
      <c r="E47" s="2">
        <v>741000</v>
      </c>
      <c r="F47" s="2">
        <v>89000</v>
      </c>
      <c r="G47" s="2">
        <v>20000</v>
      </c>
      <c r="H47" t="s">
        <v>13</v>
      </c>
      <c r="I47" s="2">
        <f t="shared" si="1"/>
        <v>830000</v>
      </c>
      <c r="J47" s="2">
        <f t="shared" si="2"/>
        <v>850000</v>
      </c>
    </row>
    <row r="48" spans="1:10">
      <c r="A48" s="7" t="s">
        <v>62</v>
      </c>
      <c r="B48" s="7" t="s">
        <v>8</v>
      </c>
      <c r="C48" t="s">
        <v>26</v>
      </c>
      <c r="D48" s="7" t="str">
        <f t="shared" si="0"/>
        <v>Senior</v>
      </c>
      <c r="E48" s="2">
        <v>1196000</v>
      </c>
      <c r="F48" s="2">
        <v>123000</v>
      </c>
      <c r="G48" s="2">
        <v>18000</v>
      </c>
      <c r="H48" t="s">
        <v>10</v>
      </c>
      <c r="I48" s="2">
        <f t="shared" si="1"/>
        <v>1319000</v>
      </c>
      <c r="J48" s="2">
        <f t="shared" si="2"/>
        <v>1337000</v>
      </c>
    </row>
    <row r="49" spans="1:10">
      <c r="A49" s="7" t="s">
        <v>63</v>
      </c>
      <c r="B49" s="7" t="s">
        <v>8</v>
      </c>
      <c r="C49" t="s">
        <v>12</v>
      </c>
      <c r="D49" s="7" t="str">
        <f t="shared" si="0"/>
        <v>Mid</v>
      </c>
      <c r="E49" s="2">
        <v>667000</v>
      </c>
      <c r="F49" s="2">
        <v>90000</v>
      </c>
      <c r="G49" s="2">
        <v>22000</v>
      </c>
      <c r="H49" t="s">
        <v>10</v>
      </c>
      <c r="I49" s="2">
        <f t="shared" si="1"/>
        <v>757000</v>
      </c>
      <c r="J49" s="2">
        <f t="shared" si="2"/>
        <v>779000</v>
      </c>
    </row>
    <row r="50" spans="1:10">
      <c r="A50" s="7" t="s">
        <v>64</v>
      </c>
      <c r="B50" s="7" t="s">
        <v>8</v>
      </c>
      <c r="C50" t="s">
        <v>12</v>
      </c>
      <c r="D50" s="7" t="str">
        <f t="shared" si="0"/>
        <v>Mid</v>
      </c>
      <c r="E50" s="2">
        <v>661000</v>
      </c>
      <c r="F50" s="2">
        <v>83000</v>
      </c>
      <c r="G50" s="2">
        <v>28000</v>
      </c>
      <c r="H50" t="s">
        <v>10</v>
      </c>
      <c r="I50" s="2">
        <f t="shared" si="1"/>
        <v>744000</v>
      </c>
      <c r="J50" s="2">
        <f t="shared" si="2"/>
        <v>772000</v>
      </c>
    </row>
    <row r="51" spans="1:10">
      <c r="A51" s="7" t="s">
        <v>65</v>
      </c>
      <c r="B51" s="7" t="s">
        <v>8</v>
      </c>
      <c r="C51" t="s">
        <v>12</v>
      </c>
      <c r="D51" s="7" t="str">
        <f t="shared" si="0"/>
        <v>Mid</v>
      </c>
      <c r="E51" s="2">
        <v>761000</v>
      </c>
      <c r="F51" s="2">
        <v>83000</v>
      </c>
      <c r="G51" s="2">
        <v>30000</v>
      </c>
      <c r="H51" t="s">
        <v>10</v>
      </c>
      <c r="I51" s="2">
        <f t="shared" si="1"/>
        <v>844000</v>
      </c>
      <c r="J51" s="2">
        <f t="shared" si="2"/>
        <v>874000</v>
      </c>
    </row>
    <row r="52" spans="1:10">
      <c r="A52" s="7" t="s">
        <v>66</v>
      </c>
      <c r="B52" s="7" t="s">
        <v>8</v>
      </c>
      <c r="C52" t="s">
        <v>9</v>
      </c>
      <c r="D52" s="7" t="str">
        <f t="shared" si="0"/>
        <v>Mid</v>
      </c>
      <c r="E52" s="2">
        <v>901000</v>
      </c>
      <c r="F52" s="2">
        <v>124000</v>
      </c>
      <c r="G52" s="2">
        <v>18000</v>
      </c>
      <c r="H52" t="s">
        <v>13</v>
      </c>
      <c r="I52" s="2">
        <f t="shared" si="1"/>
        <v>1025000</v>
      </c>
      <c r="J52" s="2">
        <f t="shared" si="2"/>
        <v>1043000</v>
      </c>
    </row>
    <row r="53" spans="1:10">
      <c r="A53" s="7" t="s">
        <v>67</v>
      </c>
      <c r="B53" s="7" t="s">
        <v>8</v>
      </c>
      <c r="C53" t="s">
        <v>9</v>
      </c>
      <c r="D53" s="7" t="str">
        <f t="shared" si="0"/>
        <v>Mid</v>
      </c>
      <c r="E53" s="2">
        <v>921000</v>
      </c>
      <c r="F53" s="2">
        <v>96000</v>
      </c>
      <c r="G53" s="2">
        <v>22000</v>
      </c>
      <c r="H53" t="s">
        <v>10</v>
      </c>
      <c r="I53" s="2">
        <f t="shared" si="1"/>
        <v>1017000</v>
      </c>
      <c r="J53" s="2">
        <f t="shared" si="2"/>
        <v>1039000</v>
      </c>
    </row>
    <row r="54" spans="1:10">
      <c r="A54" s="7" t="s">
        <v>68</v>
      </c>
      <c r="B54" s="7" t="s">
        <v>8</v>
      </c>
      <c r="C54" t="s">
        <v>12</v>
      </c>
      <c r="D54" s="7" t="str">
        <f t="shared" si="0"/>
        <v>Mid</v>
      </c>
      <c r="E54" s="2">
        <v>703000</v>
      </c>
      <c r="F54" s="2">
        <v>72000</v>
      </c>
      <c r="G54" s="2">
        <v>22000</v>
      </c>
      <c r="H54" t="s">
        <v>10</v>
      </c>
      <c r="I54" s="2">
        <f t="shared" si="1"/>
        <v>775000</v>
      </c>
      <c r="J54" s="2">
        <f t="shared" si="2"/>
        <v>797000</v>
      </c>
    </row>
    <row r="55" spans="1:10">
      <c r="A55" s="7" t="s">
        <v>69</v>
      </c>
      <c r="B55" s="7" t="s">
        <v>8</v>
      </c>
      <c r="C55" t="s">
        <v>12</v>
      </c>
      <c r="D55" s="7" t="str">
        <f t="shared" si="0"/>
        <v>Mid</v>
      </c>
      <c r="E55" s="2">
        <v>780000</v>
      </c>
      <c r="F55" s="2">
        <v>100000</v>
      </c>
      <c r="G55" s="2">
        <v>15000</v>
      </c>
      <c r="H55" t="s">
        <v>10</v>
      </c>
      <c r="I55" s="2">
        <f t="shared" si="1"/>
        <v>880000</v>
      </c>
      <c r="J55" s="2">
        <f t="shared" si="2"/>
        <v>895000</v>
      </c>
    </row>
    <row r="56" spans="1:10">
      <c r="A56" s="7" t="s">
        <v>70</v>
      </c>
      <c r="B56" s="7" t="s">
        <v>8</v>
      </c>
      <c r="C56" t="s">
        <v>9</v>
      </c>
      <c r="D56" s="7" t="str">
        <f t="shared" si="0"/>
        <v>Mid</v>
      </c>
      <c r="E56" s="2">
        <v>994000</v>
      </c>
      <c r="F56" s="2">
        <v>104000</v>
      </c>
      <c r="G56" s="2">
        <v>20000</v>
      </c>
      <c r="H56" t="s">
        <v>10</v>
      </c>
      <c r="I56" s="2">
        <f t="shared" si="1"/>
        <v>1098000</v>
      </c>
      <c r="J56" s="2">
        <f t="shared" si="2"/>
        <v>1118000</v>
      </c>
    </row>
    <row r="57" spans="1:10">
      <c r="A57" s="7" t="s">
        <v>71</v>
      </c>
      <c r="B57" s="7" t="s">
        <v>8</v>
      </c>
      <c r="C57" t="s">
        <v>24</v>
      </c>
      <c r="D57" s="7" t="str">
        <f t="shared" si="0"/>
        <v>Mid</v>
      </c>
      <c r="E57" s="2">
        <v>691000</v>
      </c>
      <c r="F57" s="2">
        <v>73000</v>
      </c>
      <c r="G57" s="2">
        <v>25000</v>
      </c>
      <c r="H57" t="s">
        <v>10</v>
      </c>
      <c r="I57" s="2">
        <f t="shared" si="1"/>
        <v>764000</v>
      </c>
      <c r="J57" s="2">
        <f t="shared" si="2"/>
        <v>789000</v>
      </c>
    </row>
    <row r="58" spans="1:10">
      <c r="A58" s="7" t="s">
        <v>72</v>
      </c>
      <c r="B58" s="7" t="s">
        <v>8</v>
      </c>
      <c r="C58" t="s">
        <v>19</v>
      </c>
      <c r="D58" s="7" t="str">
        <f t="shared" si="0"/>
        <v>Mid</v>
      </c>
      <c r="E58" s="2">
        <v>803000</v>
      </c>
      <c r="F58" s="2">
        <v>101000</v>
      </c>
      <c r="G58" s="2">
        <v>25000</v>
      </c>
      <c r="H58" t="s">
        <v>10</v>
      </c>
      <c r="I58" s="2">
        <f t="shared" si="1"/>
        <v>904000</v>
      </c>
      <c r="J58" s="2">
        <f t="shared" si="2"/>
        <v>929000</v>
      </c>
    </row>
    <row r="59" spans="1:10">
      <c r="A59" s="7" t="s">
        <v>73</v>
      </c>
      <c r="B59" s="7" t="s">
        <v>8</v>
      </c>
      <c r="C59" t="s">
        <v>12</v>
      </c>
      <c r="D59" s="7" t="str">
        <f t="shared" si="0"/>
        <v>Mid</v>
      </c>
      <c r="E59" s="2">
        <v>792000</v>
      </c>
      <c r="F59" s="2">
        <v>81000</v>
      </c>
      <c r="G59" s="2">
        <v>30000</v>
      </c>
      <c r="H59" t="s">
        <v>10</v>
      </c>
      <c r="I59" s="2">
        <f t="shared" si="1"/>
        <v>873000</v>
      </c>
      <c r="J59" s="2">
        <f t="shared" si="2"/>
        <v>903000</v>
      </c>
    </row>
    <row r="60" spans="1:10">
      <c r="A60" s="7" t="s">
        <v>74</v>
      </c>
      <c r="B60" s="7" t="s">
        <v>8</v>
      </c>
      <c r="C60" t="s">
        <v>12</v>
      </c>
      <c r="D60" s="7" t="str">
        <f t="shared" si="0"/>
        <v>Mid</v>
      </c>
      <c r="E60" s="2">
        <v>701000</v>
      </c>
      <c r="F60" s="2">
        <v>74000</v>
      </c>
      <c r="G60" s="2">
        <v>25000</v>
      </c>
      <c r="H60" t="s">
        <v>10</v>
      </c>
      <c r="I60" s="2">
        <f>E60+F60</f>
        <v>775000</v>
      </c>
      <c r="J60" s="2">
        <f t="shared" si="2"/>
        <v>800000</v>
      </c>
    </row>
    <row r="61" spans="1:10">
      <c r="A61" s="7" t="s">
        <v>75</v>
      </c>
      <c r="B61" s="7" t="s">
        <v>8</v>
      </c>
      <c r="C61" t="s">
        <v>26</v>
      </c>
      <c r="D61" s="7" t="str">
        <f t="shared" si="0"/>
        <v>Senior</v>
      </c>
      <c r="E61" s="2">
        <v>1161000</v>
      </c>
      <c r="F61" s="2">
        <v>142000</v>
      </c>
      <c r="G61" s="2">
        <v>18000</v>
      </c>
      <c r="H61" t="s">
        <v>13</v>
      </c>
      <c r="I61" s="2">
        <f t="shared" si="1"/>
        <v>1303000</v>
      </c>
      <c r="J61" s="2">
        <f t="shared" si="2"/>
        <v>1321000</v>
      </c>
    </row>
    <row r="62" spans="1:10">
      <c r="A62" s="7" t="s">
        <v>76</v>
      </c>
      <c r="B62" s="7" t="s">
        <v>8</v>
      </c>
      <c r="C62" t="s">
        <v>24</v>
      </c>
      <c r="D62" s="7" t="str">
        <f t="shared" si="0"/>
        <v>Mid</v>
      </c>
      <c r="E62" s="2">
        <v>714000</v>
      </c>
      <c r="F62" s="2">
        <v>87000</v>
      </c>
      <c r="G62" s="2">
        <v>28000</v>
      </c>
      <c r="H62" t="s">
        <v>10</v>
      </c>
      <c r="I62" s="2">
        <f t="shared" si="1"/>
        <v>801000</v>
      </c>
      <c r="J62" s="2">
        <f t="shared" si="2"/>
        <v>829000</v>
      </c>
    </row>
    <row r="63" spans="1:10">
      <c r="A63" s="7" t="s">
        <v>77</v>
      </c>
      <c r="B63" s="7" t="s">
        <v>8</v>
      </c>
      <c r="C63" t="s">
        <v>12</v>
      </c>
      <c r="D63" s="7" t="str">
        <f t="shared" si="0"/>
        <v>Mid</v>
      </c>
      <c r="E63" s="2">
        <v>668000</v>
      </c>
      <c r="F63" s="2">
        <v>75000</v>
      </c>
      <c r="G63" s="2">
        <v>15000</v>
      </c>
      <c r="H63" t="s">
        <v>10</v>
      </c>
      <c r="I63" s="2">
        <f t="shared" si="1"/>
        <v>743000</v>
      </c>
      <c r="J63" s="2">
        <f t="shared" si="2"/>
        <v>758000</v>
      </c>
    </row>
    <row r="64" spans="1:10">
      <c r="A64" s="7" t="s">
        <v>78</v>
      </c>
      <c r="B64" s="7" t="s">
        <v>8</v>
      </c>
      <c r="C64" t="s">
        <v>12</v>
      </c>
      <c r="D64" s="7" t="str">
        <f t="shared" si="0"/>
        <v>Mid</v>
      </c>
      <c r="E64" s="2">
        <v>688000</v>
      </c>
      <c r="F64" s="2">
        <v>72000</v>
      </c>
      <c r="G64" s="2">
        <v>30000</v>
      </c>
      <c r="H64" t="s">
        <v>10</v>
      </c>
      <c r="I64" s="2">
        <f t="shared" si="1"/>
        <v>760000</v>
      </c>
      <c r="J64" s="2">
        <f t="shared" si="2"/>
        <v>790000</v>
      </c>
    </row>
    <row r="65" spans="1:10">
      <c r="A65" s="7" t="s">
        <v>79</v>
      </c>
      <c r="B65" s="7" t="s">
        <v>8</v>
      </c>
      <c r="C65" t="s">
        <v>19</v>
      </c>
      <c r="D65" s="7" t="str">
        <f t="shared" si="0"/>
        <v>Mid</v>
      </c>
      <c r="E65" s="2">
        <v>938000</v>
      </c>
      <c r="F65" s="2">
        <v>103000</v>
      </c>
      <c r="G65" s="2">
        <v>20000</v>
      </c>
      <c r="H65" t="s">
        <v>10</v>
      </c>
      <c r="I65" s="2">
        <f t="shared" si="1"/>
        <v>1041000</v>
      </c>
      <c r="J65" s="2">
        <f t="shared" si="2"/>
        <v>1061000</v>
      </c>
    </row>
    <row r="66" spans="1:10">
      <c r="A66" s="7" t="s">
        <v>80</v>
      </c>
      <c r="B66" s="7" t="s">
        <v>8</v>
      </c>
      <c r="C66" t="s">
        <v>19</v>
      </c>
      <c r="D66" s="7" t="str">
        <f t="shared" si="0"/>
        <v>Mid</v>
      </c>
      <c r="E66" s="2">
        <v>930000</v>
      </c>
      <c r="F66" s="2">
        <v>94000</v>
      </c>
      <c r="G66" s="2">
        <v>28000</v>
      </c>
      <c r="H66" t="s">
        <v>10</v>
      </c>
      <c r="I66" s="2">
        <f t="shared" si="1"/>
        <v>1024000</v>
      </c>
      <c r="J66" s="2">
        <f t="shared" si="2"/>
        <v>1052000</v>
      </c>
    </row>
    <row r="67" spans="1:10">
      <c r="A67" s="7" t="s">
        <v>81</v>
      </c>
      <c r="B67" s="7" t="s">
        <v>8</v>
      </c>
      <c r="C67" t="s">
        <v>26</v>
      </c>
      <c r="D67" s="7" t="str">
        <f t="shared" ref="D67:D130" si="3">IF(OR(ISNUMBER(SEARCH("Manager",C67)),ISNUMBER(SEARCH("Controller",C67))),"Leadership",IF(OR(ISNUMBER(SEARCH("Senior",C67)),ISNUMBER(SEARCH("Regional",C67))),"Senior",IF(OR(ISNUMBER(SEARCH("Engineer",C67)),ISNUMBER(SEARCH("Analyst",C67)),ISNUMBER(SEARCH("Specialist",C67)),ISNUMBER(SEARCH("Business Partner",C67)),ISNUMBER(SEARCH("Account Manager",C67))),"Mid","Entry")))</f>
        <v>Senior</v>
      </c>
      <c r="E67" s="2">
        <v>1152000</v>
      </c>
      <c r="F67" s="2">
        <v>149000</v>
      </c>
      <c r="G67" s="2">
        <v>22000</v>
      </c>
      <c r="H67" t="s">
        <v>10</v>
      </c>
      <c r="I67" s="2">
        <f t="shared" ref="I67:I77" si="4">E67+F67</f>
        <v>1301000</v>
      </c>
      <c r="J67" s="2">
        <f t="shared" ref="J67:J130" si="5">I67+G67</f>
        <v>1323000</v>
      </c>
    </row>
    <row r="68" spans="1:10">
      <c r="A68" s="7" t="s">
        <v>82</v>
      </c>
      <c r="B68" s="7" t="s">
        <v>8</v>
      </c>
      <c r="C68" t="s">
        <v>19</v>
      </c>
      <c r="D68" s="7" t="str">
        <f t="shared" si="3"/>
        <v>Mid</v>
      </c>
      <c r="E68" s="2">
        <v>785000</v>
      </c>
      <c r="F68" s="2">
        <v>106000</v>
      </c>
      <c r="G68" s="2">
        <v>35000</v>
      </c>
      <c r="H68" t="s">
        <v>10</v>
      </c>
      <c r="I68" s="2">
        <f t="shared" si="4"/>
        <v>891000</v>
      </c>
      <c r="J68" s="2">
        <f t="shared" si="5"/>
        <v>926000</v>
      </c>
    </row>
    <row r="69" spans="1:10">
      <c r="A69" s="7" t="s">
        <v>83</v>
      </c>
      <c r="B69" s="7" t="s">
        <v>8</v>
      </c>
      <c r="C69" t="s">
        <v>19</v>
      </c>
      <c r="D69" s="7" t="str">
        <f t="shared" si="3"/>
        <v>Mid</v>
      </c>
      <c r="E69" s="2">
        <v>851000</v>
      </c>
      <c r="F69" s="2">
        <v>95000</v>
      </c>
      <c r="G69" s="2">
        <v>22000</v>
      </c>
      <c r="H69" t="s">
        <v>10</v>
      </c>
      <c r="I69" s="2">
        <f t="shared" si="4"/>
        <v>946000</v>
      </c>
      <c r="J69" s="2">
        <f t="shared" si="5"/>
        <v>968000</v>
      </c>
    </row>
    <row r="70" spans="1:10">
      <c r="A70" s="7" t="s">
        <v>84</v>
      </c>
      <c r="B70" s="7" t="s">
        <v>8</v>
      </c>
      <c r="C70" t="s">
        <v>9</v>
      </c>
      <c r="D70" s="7" t="str">
        <f t="shared" si="3"/>
        <v>Mid</v>
      </c>
      <c r="E70" s="2">
        <v>889000</v>
      </c>
      <c r="F70" s="2">
        <v>99000</v>
      </c>
      <c r="G70" s="2">
        <v>18000</v>
      </c>
      <c r="H70" t="s">
        <v>10</v>
      </c>
      <c r="I70" s="2">
        <f t="shared" si="4"/>
        <v>988000</v>
      </c>
      <c r="J70" s="2">
        <f t="shared" si="5"/>
        <v>1006000</v>
      </c>
    </row>
    <row r="71" spans="1:10">
      <c r="A71" s="7" t="s">
        <v>85</v>
      </c>
      <c r="B71" s="7" t="s">
        <v>8</v>
      </c>
      <c r="C71" t="s">
        <v>12</v>
      </c>
      <c r="D71" s="7" t="str">
        <f t="shared" si="3"/>
        <v>Mid</v>
      </c>
      <c r="E71" s="2">
        <v>750000</v>
      </c>
      <c r="F71" s="2">
        <v>87000</v>
      </c>
      <c r="G71" s="2">
        <v>28000</v>
      </c>
      <c r="H71" t="s">
        <v>10</v>
      </c>
      <c r="I71" s="2">
        <f t="shared" si="4"/>
        <v>837000</v>
      </c>
      <c r="J71" s="2">
        <f t="shared" si="5"/>
        <v>865000</v>
      </c>
    </row>
    <row r="72" spans="1:10">
      <c r="A72" s="7" t="s">
        <v>86</v>
      </c>
      <c r="B72" s="7" t="s">
        <v>8</v>
      </c>
      <c r="C72" t="s">
        <v>12</v>
      </c>
      <c r="D72" s="7" t="str">
        <f t="shared" si="3"/>
        <v>Mid</v>
      </c>
      <c r="E72" s="2">
        <v>802000</v>
      </c>
      <c r="F72" s="2">
        <v>86000</v>
      </c>
      <c r="G72" s="2">
        <v>25000</v>
      </c>
      <c r="H72" t="s">
        <v>13</v>
      </c>
      <c r="I72" s="2">
        <f t="shared" si="4"/>
        <v>888000</v>
      </c>
      <c r="J72" s="2">
        <f t="shared" si="5"/>
        <v>913000</v>
      </c>
    </row>
    <row r="73" spans="1:10">
      <c r="A73" s="7" t="s">
        <v>87</v>
      </c>
      <c r="B73" s="7" t="s">
        <v>8</v>
      </c>
      <c r="C73" t="s">
        <v>9</v>
      </c>
      <c r="D73" s="7" t="str">
        <f t="shared" si="3"/>
        <v>Mid</v>
      </c>
      <c r="E73" s="2">
        <v>878000</v>
      </c>
      <c r="F73" s="2">
        <v>115000</v>
      </c>
      <c r="G73" s="2">
        <v>30000</v>
      </c>
      <c r="H73" t="s">
        <v>10</v>
      </c>
      <c r="I73" s="2">
        <f t="shared" si="4"/>
        <v>993000</v>
      </c>
      <c r="J73" s="2">
        <f t="shared" si="5"/>
        <v>1023000</v>
      </c>
    </row>
    <row r="74" spans="1:10">
      <c r="A74" s="7" t="s">
        <v>88</v>
      </c>
      <c r="B74" s="7" t="s">
        <v>8</v>
      </c>
      <c r="C74" t="s">
        <v>26</v>
      </c>
      <c r="D74" s="7" t="str">
        <f t="shared" si="3"/>
        <v>Senior</v>
      </c>
      <c r="E74" s="2">
        <v>1083000</v>
      </c>
      <c r="F74" s="2">
        <v>133000</v>
      </c>
      <c r="G74" s="2">
        <v>25000</v>
      </c>
      <c r="H74" t="s">
        <v>13</v>
      </c>
      <c r="I74" s="2">
        <f t="shared" si="4"/>
        <v>1216000</v>
      </c>
      <c r="J74" s="2">
        <f t="shared" si="5"/>
        <v>1241000</v>
      </c>
    </row>
    <row r="75" spans="1:10">
      <c r="A75" s="7" t="s">
        <v>89</v>
      </c>
      <c r="B75" s="7" t="s">
        <v>8</v>
      </c>
      <c r="C75" t="s">
        <v>26</v>
      </c>
      <c r="D75" s="7" t="str">
        <f t="shared" si="3"/>
        <v>Senior</v>
      </c>
      <c r="E75" s="2">
        <v>1116000</v>
      </c>
      <c r="F75" s="2">
        <v>148000</v>
      </c>
      <c r="G75" s="2">
        <v>22000</v>
      </c>
      <c r="H75" t="s">
        <v>10</v>
      </c>
      <c r="I75" s="2">
        <f t="shared" si="4"/>
        <v>1264000</v>
      </c>
      <c r="J75" s="2">
        <f t="shared" si="5"/>
        <v>1286000</v>
      </c>
    </row>
    <row r="76" spans="1:10">
      <c r="A76" s="7" t="s">
        <v>90</v>
      </c>
      <c r="B76" s="7" t="s">
        <v>8</v>
      </c>
      <c r="C76" t="s">
        <v>12</v>
      </c>
      <c r="D76" s="7" t="str">
        <f t="shared" si="3"/>
        <v>Mid</v>
      </c>
      <c r="E76" s="2">
        <v>753000</v>
      </c>
      <c r="F76" s="2">
        <v>85000</v>
      </c>
      <c r="G76" s="2">
        <v>28000</v>
      </c>
      <c r="H76" t="s">
        <v>10</v>
      </c>
      <c r="I76" s="2">
        <f t="shared" si="4"/>
        <v>838000</v>
      </c>
      <c r="J76" s="2">
        <f t="shared" si="5"/>
        <v>866000</v>
      </c>
    </row>
    <row r="77" spans="1:10">
      <c r="A77" s="7" t="s">
        <v>91</v>
      </c>
      <c r="B77" s="7" t="s">
        <v>8</v>
      </c>
      <c r="C77" t="s">
        <v>12</v>
      </c>
      <c r="D77" s="7" t="str">
        <f t="shared" si="3"/>
        <v>Mid</v>
      </c>
      <c r="E77" s="2">
        <v>791000</v>
      </c>
      <c r="F77" s="2">
        <v>95000</v>
      </c>
      <c r="G77" s="2">
        <v>30000</v>
      </c>
      <c r="H77" t="s">
        <v>10</v>
      </c>
      <c r="I77" s="2">
        <f t="shared" si="4"/>
        <v>886000</v>
      </c>
      <c r="J77" s="2">
        <f t="shared" si="5"/>
        <v>916000</v>
      </c>
    </row>
    <row r="78" spans="1:10">
      <c r="A78" s="7" t="s">
        <v>92</v>
      </c>
      <c r="B78" s="7" t="s">
        <v>8</v>
      </c>
      <c r="C78" t="s">
        <v>9</v>
      </c>
      <c r="D78" s="7" t="str">
        <f t="shared" si="3"/>
        <v>Mid</v>
      </c>
      <c r="E78" s="2">
        <v>920000</v>
      </c>
      <c r="F78" s="2">
        <v>99000</v>
      </c>
      <c r="G78" s="2">
        <v>30000</v>
      </c>
      <c r="H78" t="s">
        <v>10</v>
      </c>
      <c r="I78" s="2">
        <f>E78+F78</f>
        <v>1019000</v>
      </c>
      <c r="J78" s="2">
        <f t="shared" si="5"/>
        <v>1049000</v>
      </c>
    </row>
    <row r="79" spans="1:10">
      <c r="A79" s="7" t="s">
        <v>93</v>
      </c>
      <c r="B79" s="7" t="s">
        <v>8</v>
      </c>
      <c r="C79" t="s">
        <v>24</v>
      </c>
      <c r="D79" s="7" t="str">
        <f t="shared" si="3"/>
        <v>Mid</v>
      </c>
      <c r="E79" s="2">
        <v>673000</v>
      </c>
      <c r="F79" s="2">
        <v>75000</v>
      </c>
      <c r="G79" s="2">
        <v>15000</v>
      </c>
      <c r="H79" t="s">
        <v>10</v>
      </c>
      <c r="I79" s="2">
        <f t="shared" ref="I79:I101" si="6">E79+F79</f>
        <v>748000</v>
      </c>
      <c r="J79" s="2">
        <f t="shared" si="5"/>
        <v>763000</v>
      </c>
    </row>
    <row r="80" spans="1:10">
      <c r="A80" s="7" t="s">
        <v>94</v>
      </c>
      <c r="B80" s="7" t="s">
        <v>8</v>
      </c>
      <c r="C80" t="s">
        <v>12</v>
      </c>
      <c r="D80" s="7" t="str">
        <f t="shared" si="3"/>
        <v>Mid</v>
      </c>
      <c r="E80" s="2">
        <v>772000</v>
      </c>
      <c r="F80" s="2">
        <v>96000</v>
      </c>
      <c r="G80" s="2">
        <v>28000</v>
      </c>
      <c r="H80" t="s">
        <v>10</v>
      </c>
      <c r="I80" s="2">
        <f t="shared" si="6"/>
        <v>868000</v>
      </c>
      <c r="J80" s="2">
        <f t="shared" si="5"/>
        <v>896000</v>
      </c>
    </row>
    <row r="81" spans="1:10">
      <c r="A81" s="7" t="s">
        <v>95</v>
      </c>
      <c r="B81" s="7" t="s">
        <v>8</v>
      </c>
      <c r="C81" t="s">
        <v>26</v>
      </c>
      <c r="D81" s="7" t="str">
        <f t="shared" si="3"/>
        <v>Senior</v>
      </c>
      <c r="E81" s="2">
        <v>1042000</v>
      </c>
      <c r="F81" s="2">
        <v>124000</v>
      </c>
      <c r="G81" s="2">
        <v>20000</v>
      </c>
      <c r="H81" t="s">
        <v>10</v>
      </c>
      <c r="I81" s="2">
        <f t="shared" si="6"/>
        <v>1166000</v>
      </c>
      <c r="J81" s="2">
        <f t="shared" si="5"/>
        <v>1186000</v>
      </c>
    </row>
    <row r="82" spans="1:10">
      <c r="A82" s="7" t="s">
        <v>96</v>
      </c>
      <c r="B82" s="7" t="s">
        <v>8</v>
      </c>
      <c r="C82" t="s">
        <v>12</v>
      </c>
      <c r="D82" s="7" t="str">
        <f t="shared" si="3"/>
        <v>Mid</v>
      </c>
      <c r="E82" s="2">
        <v>753000</v>
      </c>
      <c r="F82" s="2">
        <v>94000</v>
      </c>
      <c r="G82" s="2">
        <v>18000</v>
      </c>
      <c r="H82" t="s">
        <v>10</v>
      </c>
      <c r="I82" s="2">
        <f t="shared" si="6"/>
        <v>847000</v>
      </c>
      <c r="J82" s="2">
        <f t="shared" si="5"/>
        <v>865000</v>
      </c>
    </row>
    <row r="83" spans="1:10">
      <c r="A83" s="7" t="s">
        <v>97</v>
      </c>
      <c r="B83" s="7" t="s">
        <v>8</v>
      </c>
      <c r="C83" t="s">
        <v>19</v>
      </c>
      <c r="D83" s="7" t="str">
        <f t="shared" si="3"/>
        <v>Mid</v>
      </c>
      <c r="E83" s="2">
        <v>891000</v>
      </c>
      <c r="F83" s="2">
        <v>97000</v>
      </c>
      <c r="G83" s="2">
        <v>22000</v>
      </c>
      <c r="H83" t="s">
        <v>10</v>
      </c>
      <c r="I83" s="2">
        <f t="shared" si="6"/>
        <v>988000</v>
      </c>
      <c r="J83" s="2">
        <f t="shared" si="5"/>
        <v>1010000</v>
      </c>
    </row>
    <row r="84" spans="1:10">
      <c r="A84" s="7" t="s">
        <v>98</v>
      </c>
      <c r="B84" s="7" t="s">
        <v>8</v>
      </c>
      <c r="C84" t="s">
        <v>12</v>
      </c>
      <c r="D84" s="7" t="str">
        <f t="shared" si="3"/>
        <v>Mid</v>
      </c>
      <c r="E84" s="2">
        <v>804000</v>
      </c>
      <c r="F84" s="2">
        <v>100000</v>
      </c>
      <c r="G84" s="2">
        <v>18000</v>
      </c>
      <c r="H84" t="s">
        <v>10</v>
      </c>
      <c r="I84" s="2">
        <f t="shared" si="6"/>
        <v>904000</v>
      </c>
      <c r="J84" s="2">
        <f t="shared" si="5"/>
        <v>922000</v>
      </c>
    </row>
    <row r="85" spans="1:10">
      <c r="A85" s="7" t="s">
        <v>99</v>
      </c>
      <c r="B85" s="7" t="s">
        <v>8</v>
      </c>
      <c r="C85" t="s">
        <v>24</v>
      </c>
      <c r="D85" s="7" t="str">
        <f t="shared" si="3"/>
        <v>Mid</v>
      </c>
      <c r="E85" s="2">
        <v>667000</v>
      </c>
      <c r="F85" s="2">
        <v>86000</v>
      </c>
      <c r="G85" s="2">
        <v>30000</v>
      </c>
      <c r="H85" t="s">
        <v>10</v>
      </c>
      <c r="I85" s="2">
        <f t="shared" si="6"/>
        <v>753000</v>
      </c>
      <c r="J85" s="2">
        <f t="shared" si="5"/>
        <v>783000</v>
      </c>
    </row>
    <row r="86" spans="1:10">
      <c r="A86" s="7" t="s">
        <v>100</v>
      </c>
      <c r="B86" s="7" t="s">
        <v>8</v>
      </c>
      <c r="C86" t="s">
        <v>12</v>
      </c>
      <c r="D86" s="7" t="str">
        <f t="shared" si="3"/>
        <v>Mid</v>
      </c>
      <c r="E86" s="2">
        <v>752000</v>
      </c>
      <c r="F86" s="2">
        <v>75000</v>
      </c>
      <c r="G86" s="2">
        <v>18000</v>
      </c>
      <c r="H86" t="s">
        <v>10</v>
      </c>
      <c r="I86" s="2">
        <f t="shared" si="6"/>
        <v>827000</v>
      </c>
      <c r="J86" s="2">
        <f t="shared" si="5"/>
        <v>845000</v>
      </c>
    </row>
    <row r="87" spans="1:10">
      <c r="A87" s="7" t="s">
        <v>101</v>
      </c>
      <c r="B87" s="7" t="s">
        <v>8</v>
      </c>
      <c r="C87" t="s">
        <v>12</v>
      </c>
      <c r="D87" s="7" t="str">
        <f t="shared" si="3"/>
        <v>Mid</v>
      </c>
      <c r="E87" s="2">
        <v>775000</v>
      </c>
      <c r="F87" s="2">
        <v>99000</v>
      </c>
      <c r="G87" s="2">
        <v>35000</v>
      </c>
      <c r="H87" t="s">
        <v>13</v>
      </c>
      <c r="I87" s="2">
        <f t="shared" si="6"/>
        <v>874000</v>
      </c>
      <c r="J87" s="2">
        <f t="shared" si="5"/>
        <v>909000</v>
      </c>
    </row>
    <row r="88" spans="1:10">
      <c r="A88" s="7" t="s">
        <v>102</v>
      </c>
      <c r="B88" s="7" t="s">
        <v>8</v>
      </c>
      <c r="C88" t="s">
        <v>12</v>
      </c>
      <c r="D88" s="7" t="str">
        <f t="shared" si="3"/>
        <v>Mid</v>
      </c>
      <c r="E88" s="2">
        <v>782000</v>
      </c>
      <c r="F88" s="2">
        <v>92000</v>
      </c>
      <c r="G88" s="2">
        <v>35000</v>
      </c>
      <c r="H88" t="s">
        <v>10</v>
      </c>
      <c r="I88" s="2">
        <f t="shared" si="6"/>
        <v>874000</v>
      </c>
      <c r="J88" s="2">
        <f t="shared" si="5"/>
        <v>909000</v>
      </c>
    </row>
    <row r="89" spans="1:10">
      <c r="A89" s="7" t="s">
        <v>103</v>
      </c>
      <c r="B89" s="7" t="s">
        <v>8</v>
      </c>
      <c r="C89" t="s">
        <v>21</v>
      </c>
      <c r="D89" s="7" t="str">
        <f t="shared" si="3"/>
        <v>Leadership</v>
      </c>
      <c r="E89" s="2">
        <v>1495000</v>
      </c>
      <c r="F89" s="2">
        <v>206000</v>
      </c>
      <c r="G89" s="2">
        <v>35000</v>
      </c>
      <c r="H89" t="s">
        <v>10</v>
      </c>
      <c r="I89" s="2">
        <f t="shared" si="6"/>
        <v>1701000</v>
      </c>
      <c r="J89" s="2">
        <f t="shared" si="5"/>
        <v>1736000</v>
      </c>
    </row>
    <row r="90" spans="1:10">
      <c r="A90" s="7" t="s">
        <v>104</v>
      </c>
      <c r="B90" s="7" t="s">
        <v>8</v>
      </c>
      <c r="C90" t="s">
        <v>19</v>
      </c>
      <c r="D90" s="7" t="str">
        <f t="shared" si="3"/>
        <v>Mid</v>
      </c>
      <c r="E90" s="2">
        <v>859000</v>
      </c>
      <c r="F90" s="2">
        <v>114000</v>
      </c>
      <c r="G90" s="2">
        <v>35000</v>
      </c>
      <c r="H90" t="s">
        <v>10</v>
      </c>
      <c r="I90" s="2">
        <f t="shared" si="6"/>
        <v>973000</v>
      </c>
      <c r="J90" s="2">
        <f t="shared" si="5"/>
        <v>1008000</v>
      </c>
    </row>
    <row r="91" spans="1:10">
      <c r="A91" s="7" t="s">
        <v>105</v>
      </c>
      <c r="B91" s="7" t="s">
        <v>8</v>
      </c>
      <c r="C91" t="s">
        <v>19</v>
      </c>
      <c r="D91" s="7" t="str">
        <f t="shared" si="3"/>
        <v>Mid</v>
      </c>
      <c r="E91" s="2">
        <v>854000</v>
      </c>
      <c r="F91" s="2">
        <v>94000</v>
      </c>
      <c r="G91" s="2">
        <v>22000</v>
      </c>
      <c r="H91" t="s">
        <v>10</v>
      </c>
      <c r="I91" s="2">
        <f t="shared" si="6"/>
        <v>948000</v>
      </c>
      <c r="J91" s="2">
        <f t="shared" si="5"/>
        <v>970000</v>
      </c>
    </row>
    <row r="92" spans="1:10">
      <c r="A92" s="7" t="s">
        <v>106</v>
      </c>
      <c r="B92" s="7" t="s">
        <v>8</v>
      </c>
      <c r="C92" t="s">
        <v>12</v>
      </c>
      <c r="D92" s="7" t="str">
        <f t="shared" si="3"/>
        <v>Mid</v>
      </c>
      <c r="E92" s="2">
        <v>771000</v>
      </c>
      <c r="F92" s="2">
        <v>92000</v>
      </c>
      <c r="G92" s="2">
        <v>22000</v>
      </c>
      <c r="H92" t="s">
        <v>10</v>
      </c>
      <c r="I92" s="2">
        <f t="shared" si="6"/>
        <v>863000</v>
      </c>
      <c r="J92" s="2">
        <f t="shared" si="5"/>
        <v>885000</v>
      </c>
    </row>
    <row r="93" spans="1:10">
      <c r="A93" s="7" t="s">
        <v>107</v>
      </c>
      <c r="B93" s="7" t="s">
        <v>8</v>
      </c>
      <c r="C93" t="s">
        <v>12</v>
      </c>
      <c r="D93" s="7" t="str">
        <f t="shared" si="3"/>
        <v>Mid</v>
      </c>
      <c r="E93" s="2">
        <v>693000</v>
      </c>
      <c r="F93" s="2">
        <v>77000</v>
      </c>
      <c r="G93" s="2">
        <v>28000</v>
      </c>
      <c r="H93" t="s">
        <v>10</v>
      </c>
      <c r="I93" s="2">
        <f t="shared" si="6"/>
        <v>770000</v>
      </c>
      <c r="J93" s="2">
        <f t="shared" si="5"/>
        <v>798000</v>
      </c>
    </row>
    <row r="94" spans="1:10">
      <c r="A94" s="7" t="s">
        <v>108</v>
      </c>
      <c r="B94" s="7" t="s">
        <v>8</v>
      </c>
      <c r="C94" t="s">
        <v>12</v>
      </c>
      <c r="D94" s="7" t="str">
        <f t="shared" si="3"/>
        <v>Mid</v>
      </c>
      <c r="E94" s="2">
        <v>672000</v>
      </c>
      <c r="F94" s="2">
        <v>77000</v>
      </c>
      <c r="G94" s="2">
        <v>20000</v>
      </c>
      <c r="H94" t="s">
        <v>10</v>
      </c>
      <c r="I94" s="2">
        <f t="shared" si="6"/>
        <v>749000</v>
      </c>
      <c r="J94" s="2">
        <f t="shared" si="5"/>
        <v>769000</v>
      </c>
    </row>
    <row r="95" spans="1:10">
      <c r="A95" s="7" t="s">
        <v>109</v>
      </c>
      <c r="B95" s="7" t="s">
        <v>8</v>
      </c>
      <c r="C95" t="s">
        <v>12</v>
      </c>
      <c r="D95" s="7" t="str">
        <f t="shared" si="3"/>
        <v>Mid</v>
      </c>
      <c r="E95" s="2">
        <v>713000</v>
      </c>
      <c r="F95" s="2">
        <v>87000</v>
      </c>
      <c r="G95" s="2">
        <v>30000</v>
      </c>
      <c r="H95" t="s">
        <v>13</v>
      </c>
      <c r="I95" s="2">
        <f t="shared" si="6"/>
        <v>800000</v>
      </c>
      <c r="J95" s="2">
        <f t="shared" si="5"/>
        <v>830000</v>
      </c>
    </row>
    <row r="96" spans="1:10">
      <c r="A96" s="7" t="s">
        <v>110</v>
      </c>
      <c r="B96" s="7" t="s">
        <v>8</v>
      </c>
      <c r="C96" t="s">
        <v>19</v>
      </c>
      <c r="D96" s="7" t="str">
        <f t="shared" si="3"/>
        <v>Mid</v>
      </c>
      <c r="E96" s="2">
        <v>838000</v>
      </c>
      <c r="F96" s="2">
        <v>110000</v>
      </c>
      <c r="G96" s="2">
        <v>15000</v>
      </c>
      <c r="H96" t="s">
        <v>10</v>
      </c>
      <c r="I96" s="2">
        <f t="shared" si="6"/>
        <v>948000</v>
      </c>
      <c r="J96" s="2">
        <f t="shared" si="5"/>
        <v>963000</v>
      </c>
    </row>
    <row r="97" spans="1:10">
      <c r="A97" s="7" t="s">
        <v>111</v>
      </c>
      <c r="B97" s="7" t="s">
        <v>8</v>
      </c>
      <c r="C97" t="s">
        <v>19</v>
      </c>
      <c r="D97" s="7" t="str">
        <f t="shared" si="3"/>
        <v>Mid</v>
      </c>
      <c r="E97" s="2">
        <v>836000</v>
      </c>
      <c r="F97" s="2">
        <v>84000</v>
      </c>
      <c r="G97" s="2">
        <v>28000</v>
      </c>
      <c r="H97" t="s">
        <v>10</v>
      </c>
      <c r="I97" s="2">
        <f t="shared" si="6"/>
        <v>920000</v>
      </c>
      <c r="J97" s="2">
        <f t="shared" si="5"/>
        <v>948000</v>
      </c>
    </row>
    <row r="98" spans="1:10">
      <c r="A98" s="7" t="s">
        <v>112</v>
      </c>
      <c r="B98" s="7" t="s">
        <v>8</v>
      </c>
      <c r="C98" t="s">
        <v>26</v>
      </c>
      <c r="D98" s="7" t="str">
        <f t="shared" si="3"/>
        <v>Senior</v>
      </c>
      <c r="E98" s="2">
        <v>1206000</v>
      </c>
      <c r="F98" s="2">
        <v>161000</v>
      </c>
      <c r="G98" s="2">
        <v>22000</v>
      </c>
      <c r="H98" t="s">
        <v>10</v>
      </c>
      <c r="I98" s="2">
        <f t="shared" si="6"/>
        <v>1367000</v>
      </c>
      <c r="J98" s="2">
        <f t="shared" si="5"/>
        <v>1389000</v>
      </c>
    </row>
    <row r="99" spans="1:10">
      <c r="A99" s="7" t="s">
        <v>113</v>
      </c>
      <c r="B99" s="7" t="s">
        <v>8</v>
      </c>
      <c r="C99" t="s">
        <v>12</v>
      </c>
      <c r="D99" s="7" t="str">
        <f t="shared" si="3"/>
        <v>Mid</v>
      </c>
      <c r="E99" s="2">
        <v>725000</v>
      </c>
      <c r="F99" s="2">
        <v>84000</v>
      </c>
      <c r="G99" s="2">
        <v>30000</v>
      </c>
      <c r="H99" t="s">
        <v>10</v>
      </c>
      <c r="I99" s="2">
        <f t="shared" si="6"/>
        <v>809000</v>
      </c>
      <c r="J99" s="2">
        <f t="shared" si="5"/>
        <v>839000</v>
      </c>
    </row>
    <row r="100" spans="1:10">
      <c r="A100" s="7" t="s">
        <v>114</v>
      </c>
      <c r="B100" s="7" t="s">
        <v>8</v>
      </c>
      <c r="C100" t="s">
        <v>19</v>
      </c>
      <c r="D100" s="7" t="str">
        <f t="shared" si="3"/>
        <v>Mid</v>
      </c>
      <c r="E100" s="2">
        <v>937000</v>
      </c>
      <c r="F100" s="2">
        <v>130000</v>
      </c>
      <c r="G100" s="2">
        <v>15000</v>
      </c>
      <c r="H100" t="s">
        <v>10</v>
      </c>
      <c r="I100" s="2">
        <f t="shared" si="6"/>
        <v>1067000</v>
      </c>
      <c r="J100" s="2">
        <f t="shared" si="5"/>
        <v>1082000</v>
      </c>
    </row>
    <row r="101" spans="1:10">
      <c r="A101" s="7" t="s">
        <v>115</v>
      </c>
      <c r="B101" s="7" t="s">
        <v>8</v>
      </c>
      <c r="C101" t="s">
        <v>9</v>
      </c>
      <c r="D101" s="7" t="str">
        <f t="shared" si="3"/>
        <v>Mid</v>
      </c>
      <c r="E101" s="2">
        <v>941000</v>
      </c>
      <c r="F101" s="2">
        <v>97000</v>
      </c>
      <c r="G101" s="2">
        <v>30000</v>
      </c>
      <c r="H101" t="s">
        <v>10</v>
      </c>
      <c r="I101" s="2">
        <f t="shared" si="6"/>
        <v>1038000</v>
      </c>
      <c r="J101" s="2">
        <f t="shared" si="5"/>
        <v>1068000</v>
      </c>
    </row>
    <row r="102" spans="1:10">
      <c r="A102" s="7" t="s">
        <v>116</v>
      </c>
      <c r="B102" s="7" t="s">
        <v>8</v>
      </c>
      <c r="C102" t="s">
        <v>26</v>
      </c>
      <c r="D102" s="7" t="str">
        <f t="shared" si="3"/>
        <v>Senior</v>
      </c>
      <c r="E102" s="2">
        <v>1002000</v>
      </c>
      <c r="F102" s="2">
        <v>115000</v>
      </c>
      <c r="G102" s="2">
        <v>22000</v>
      </c>
      <c r="H102" t="s">
        <v>10</v>
      </c>
      <c r="I102" s="2">
        <f>E102+F102</f>
        <v>1117000</v>
      </c>
      <c r="J102" s="2">
        <f t="shared" si="5"/>
        <v>1139000</v>
      </c>
    </row>
    <row r="103" spans="1:10">
      <c r="A103" s="7" t="s">
        <v>117</v>
      </c>
      <c r="B103" s="7" t="s">
        <v>8</v>
      </c>
      <c r="C103" t="s">
        <v>26</v>
      </c>
      <c r="D103" s="7" t="str">
        <f t="shared" si="3"/>
        <v>Senior</v>
      </c>
      <c r="E103" s="2">
        <v>1203000</v>
      </c>
      <c r="F103" s="2">
        <v>134000</v>
      </c>
      <c r="G103" s="2">
        <v>30000</v>
      </c>
      <c r="H103" t="s">
        <v>10</v>
      </c>
      <c r="I103" s="2">
        <f t="shared" ref="I103:I118" si="7">E103+F103</f>
        <v>1337000</v>
      </c>
      <c r="J103" s="2">
        <f t="shared" si="5"/>
        <v>1367000</v>
      </c>
    </row>
    <row r="104" spans="1:10">
      <c r="A104" s="7" t="s">
        <v>118</v>
      </c>
      <c r="B104" s="7" t="s">
        <v>8</v>
      </c>
      <c r="C104" t="s">
        <v>12</v>
      </c>
      <c r="D104" s="7" t="str">
        <f t="shared" si="3"/>
        <v>Mid</v>
      </c>
      <c r="E104" s="2">
        <v>651000</v>
      </c>
      <c r="F104" s="2">
        <v>79000</v>
      </c>
      <c r="G104" s="2">
        <v>28000</v>
      </c>
      <c r="H104" t="s">
        <v>10</v>
      </c>
      <c r="I104" s="2">
        <f t="shared" si="7"/>
        <v>730000</v>
      </c>
      <c r="J104" s="2">
        <f t="shared" si="5"/>
        <v>758000</v>
      </c>
    </row>
    <row r="105" spans="1:10">
      <c r="A105" s="7" t="s">
        <v>119</v>
      </c>
      <c r="B105" s="7" t="s">
        <v>8</v>
      </c>
      <c r="C105" t="s">
        <v>12</v>
      </c>
      <c r="D105" s="7" t="str">
        <f t="shared" si="3"/>
        <v>Mid</v>
      </c>
      <c r="E105" s="2">
        <v>800000</v>
      </c>
      <c r="F105" s="2">
        <v>81000</v>
      </c>
      <c r="G105" s="2">
        <v>15000</v>
      </c>
      <c r="H105" t="s">
        <v>10</v>
      </c>
      <c r="I105" s="2">
        <f t="shared" si="7"/>
        <v>881000</v>
      </c>
      <c r="J105" s="2">
        <f t="shared" si="5"/>
        <v>896000</v>
      </c>
    </row>
    <row r="106" spans="1:10">
      <c r="A106" s="7" t="s">
        <v>120</v>
      </c>
      <c r="B106" s="7" t="s">
        <v>8</v>
      </c>
      <c r="C106" t="s">
        <v>12</v>
      </c>
      <c r="D106" s="7" t="str">
        <f t="shared" si="3"/>
        <v>Mid</v>
      </c>
      <c r="E106" s="2">
        <v>651000</v>
      </c>
      <c r="F106" s="2">
        <v>69000</v>
      </c>
      <c r="G106" s="2">
        <v>20000</v>
      </c>
      <c r="H106" t="s">
        <v>10</v>
      </c>
      <c r="I106" s="2">
        <f t="shared" si="7"/>
        <v>720000</v>
      </c>
      <c r="J106" s="2">
        <f t="shared" si="5"/>
        <v>740000</v>
      </c>
    </row>
    <row r="107" spans="1:10">
      <c r="A107" s="7" t="s">
        <v>121</v>
      </c>
      <c r="B107" s="7" t="s">
        <v>8</v>
      </c>
      <c r="C107" t="s">
        <v>12</v>
      </c>
      <c r="D107" s="7" t="str">
        <f t="shared" si="3"/>
        <v>Mid</v>
      </c>
      <c r="E107" s="2">
        <v>798000</v>
      </c>
      <c r="F107" s="2">
        <v>95000</v>
      </c>
      <c r="G107" s="2">
        <v>25000</v>
      </c>
      <c r="H107" t="s">
        <v>10</v>
      </c>
      <c r="I107" s="2">
        <f t="shared" si="7"/>
        <v>893000</v>
      </c>
      <c r="J107" s="2">
        <f t="shared" si="5"/>
        <v>918000</v>
      </c>
    </row>
    <row r="108" spans="1:10">
      <c r="A108" s="7" t="s">
        <v>122</v>
      </c>
      <c r="B108" s="7" t="s">
        <v>8</v>
      </c>
      <c r="C108" t="s">
        <v>12</v>
      </c>
      <c r="D108" s="7" t="str">
        <f t="shared" si="3"/>
        <v>Mid</v>
      </c>
      <c r="E108" s="2">
        <v>744000</v>
      </c>
      <c r="F108" s="2">
        <v>97000</v>
      </c>
      <c r="G108" s="2">
        <v>18000</v>
      </c>
      <c r="H108" t="s">
        <v>10</v>
      </c>
      <c r="I108" s="2">
        <f t="shared" si="7"/>
        <v>841000</v>
      </c>
      <c r="J108" s="2">
        <f t="shared" si="5"/>
        <v>859000</v>
      </c>
    </row>
    <row r="109" spans="1:10">
      <c r="A109" s="7" t="s">
        <v>123</v>
      </c>
      <c r="B109" s="7" t="s">
        <v>8</v>
      </c>
      <c r="C109" t="s">
        <v>12</v>
      </c>
      <c r="D109" s="7" t="str">
        <f t="shared" si="3"/>
        <v>Mid</v>
      </c>
      <c r="E109" s="2">
        <v>697000</v>
      </c>
      <c r="F109" s="2">
        <v>86000</v>
      </c>
      <c r="G109" s="2">
        <v>25000</v>
      </c>
      <c r="H109" t="s">
        <v>10</v>
      </c>
      <c r="I109" s="2">
        <f t="shared" si="7"/>
        <v>783000</v>
      </c>
      <c r="J109" s="2">
        <f t="shared" si="5"/>
        <v>808000</v>
      </c>
    </row>
    <row r="110" spans="1:10">
      <c r="A110" s="7" t="s">
        <v>124</v>
      </c>
      <c r="B110" s="7" t="s">
        <v>8</v>
      </c>
      <c r="C110" t="s">
        <v>24</v>
      </c>
      <c r="D110" s="7" t="str">
        <f t="shared" si="3"/>
        <v>Mid</v>
      </c>
      <c r="E110" s="2">
        <v>639000</v>
      </c>
      <c r="F110" s="2">
        <v>88000</v>
      </c>
      <c r="G110" s="2">
        <v>22000</v>
      </c>
      <c r="H110" t="s">
        <v>13</v>
      </c>
      <c r="I110" s="2">
        <f t="shared" si="7"/>
        <v>727000</v>
      </c>
      <c r="J110" s="2">
        <f t="shared" si="5"/>
        <v>749000</v>
      </c>
    </row>
    <row r="111" spans="1:10">
      <c r="A111" s="7" t="s">
        <v>125</v>
      </c>
      <c r="B111" s="7" t="s">
        <v>8</v>
      </c>
      <c r="C111" t="s">
        <v>9</v>
      </c>
      <c r="D111" s="7" t="str">
        <f t="shared" si="3"/>
        <v>Mid</v>
      </c>
      <c r="E111" s="2">
        <v>934000</v>
      </c>
      <c r="F111" s="2">
        <v>97000</v>
      </c>
      <c r="G111" s="2">
        <v>25000</v>
      </c>
      <c r="H111" t="s">
        <v>10</v>
      </c>
      <c r="I111" s="2">
        <f t="shared" si="7"/>
        <v>1031000</v>
      </c>
      <c r="J111" s="2">
        <f t="shared" si="5"/>
        <v>1056000</v>
      </c>
    </row>
    <row r="112" spans="1:10">
      <c r="A112" s="7" t="s">
        <v>126</v>
      </c>
      <c r="B112" s="7" t="s">
        <v>8</v>
      </c>
      <c r="C112" t="s">
        <v>9</v>
      </c>
      <c r="D112" s="7" t="str">
        <f t="shared" si="3"/>
        <v>Mid</v>
      </c>
      <c r="E112" s="2">
        <v>834000</v>
      </c>
      <c r="F112" s="2">
        <v>116000</v>
      </c>
      <c r="G112" s="2">
        <v>15000</v>
      </c>
      <c r="H112" t="s">
        <v>10</v>
      </c>
      <c r="I112" s="2">
        <f t="shared" si="7"/>
        <v>950000</v>
      </c>
      <c r="J112" s="2">
        <f t="shared" si="5"/>
        <v>965000</v>
      </c>
    </row>
    <row r="113" spans="1:10">
      <c r="A113" s="7" t="s">
        <v>127</v>
      </c>
      <c r="B113" s="7" t="s">
        <v>8</v>
      </c>
      <c r="C113" t="s">
        <v>26</v>
      </c>
      <c r="D113" s="7" t="str">
        <f t="shared" si="3"/>
        <v>Senior</v>
      </c>
      <c r="E113" s="2">
        <v>1080000</v>
      </c>
      <c r="F113" s="2">
        <v>130000</v>
      </c>
      <c r="G113" s="2">
        <v>28000</v>
      </c>
      <c r="H113" t="s">
        <v>13</v>
      </c>
      <c r="I113" s="2">
        <f t="shared" si="7"/>
        <v>1210000</v>
      </c>
      <c r="J113" s="2">
        <f t="shared" si="5"/>
        <v>1238000</v>
      </c>
    </row>
    <row r="114" spans="1:10">
      <c r="A114" s="7" t="s">
        <v>128</v>
      </c>
      <c r="B114" s="7" t="s">
        <v>8</v>
      </c>
      <c r="C114" t="s">
        <v>26</v>
      </c>
      <c r="D114" s="7" t="str">
        <f t="shared" si="3"/>
        <v>Senior</v>
      </c>
      <c r="E114" s="2">
        <v>1109000</v>
      </c>
      <c r="F114" s="2">
        <v>130000</v>
      </c>
      <c r="G114" s="2">
        <v>28000</v>
      </c>
      <c r="H114" t="s">
        <v>10</v>
      </c>
      <c r="I114" s="2">
        <f t="shared" si="7"/>
        <v>1239000</v>
      </c>
      <c r="J114" s="2">
        <f t="shared" si="5"/>
        <v>1267000</v>
      </c>
    </row>
    <row r="115" spans="1:10">
      <c r="A115" s="7" t="s">
        <v>129</v>
      </c>
      <c r="B115" s="7" t="s">
        <v>8</v>
      </c>
      <c r="C115" t="s">
        <v>19</v>
      </c>
      <c r="D115" s="7" t="str">
        <f t="shared" si="3"/>
        <v>Mid</v>
      </c>
      <c r="E115" s="2">
        <v>897000</v>
      </c>
      <c r="F115" s="2">
        <v>105000</v>
      </c>
      <c r="G115" s="2">
        <v>25000</v>
      </c>
      <c r="H115" t="s">
        <v>10</v>
      </c>
      <c r="I115" s="2">
        <f t="shared" si="7"/>
        <v>1002000</v>
      </c>
      <c r="J115" s="2">
        <f t="shared" si="5"/>
        <v>1027000</v>
      </c>
    </row>
    <row r="116" spans="1:10">
      <c r="A116" s="7" t="s">
        <v>130</v>
      </c>
      <c r="B116" s="7" t="s">
        <v>8</v>
      </c>
      <c r="C116" t="s">
        <v>24</v>
      </c>
      <c r="D116" s="7" t="str">
        <f t="shared" si="3"/>
        <v>Mid</v>
      </c>
      <c r="E116" s="2">
        <v>696000</v>
      </c>
      <c r="F116" s="2">
        <v>83000</v>
      </c>
      <c r="G116" s="2">
        <v>25000</v>
      </c>
      <c r="H116" t="s">
        <v>10</v>
      </c>
      <c r="I116" s="2">
        <f t="shared" si="7"/>
        <v>779000</v>
      </c>
      <c r="J116" s="2">
        <f t="shared" si="5"/>
        <v>804000</v>
      </c>
    </row>
    <row r="117" spans="1:10">
      <c r="A117" s="7" t="s">
        <v>131</v>
      </c>
      <c r="B117" s="7" t="s">
        <v>8</v>
      </c>
      <c r="C117" t="s">
        <v>12</v>
      </c>
      <c r="D117" s="7" t="str">
        <f t="shared" si="3"/>
        <v>Mid</v>
      </c>
      <c r="E117" s="2">
        <v>796000</v>
      </c>
      <c r="F117" s="2">
        <v>88000</v>
      </c>
      <c r="G117" s="2">
        <v>35000</v>
      </c>
      <c r="H117" t="s">
        <v>10</v>
      </c>
      <c r="I117" s="2">
        <f t="shared" si="7"/>
        <v>884000</v>
      </c>
      <c r="J117" s="2">
        <f t="shared" si="5"/>
        <v>919000</v>
      </c>
    </row>
    <row r="118" spans="1:10">
      <c r="A118" s="7" t="s">
        <v>132</v>
      </c>
      <c r="B118" s="7" t="s">
        <v>8</v>
      </c>
      <c r="C118" t="s">
        <v>26</v>
      </c>
      <c r="D118" s="7" t="str">
        <f t="shared" si="3"/>
        <v>Senior</v>
      </c>
      <c r="E118" s="2">
        <v>1138000</v>
      </c>
      <c r="F118" s="2">
        <v>131000</v>
      </c>
      <c r="G118" s="2">
        <v>15000</v>
      </c>
      <c r="H118" t="s">
        <v>10</v>
      </c>
      <c r="I118" s="2">
        <f t="shared" si="7"/>
        <v>1269000</v>
      </c>
      <c r="J118" s="2">
        <f t="shared" si="5"/>
        <v>1284000</v>
      </c>
    </row>
    <row r="119" spans="1:10">
      <c r="A119" s="7" t="s">
        <v>133</v>
      </c>
      <c r="B119" s="7" t="s">
        <v>8</v>
      </c>
      <c r="C119" t="s">
        <v>26</v>
      </c>
      <c r="D119" s="7" t="str">
        <f t="shared" si="3"/>
        <v>Senior</v>
      </c>
      <c r="E119" s="2">
        <v>1108000</v>
      </c>
      <c r="F119" s="2">
        <v>127000</v>
      </c>
      <c r="G119" s="2">
        <v>25000</v>
      </c>
      <c r="H119" t="s">
        <v>10</v>
      </c>
      <c r="I119" s="2">
        <f>E119+F119</f>
        <v>1235000</v>
      </c>
      <c r="J119" s="2">
        <f t="shared" si="5"/>
        <v>1260000</v>
      </c>
    </row>
    <row r="120" spans="1:10">
      <c r="A120" s="7" t="s">
        <v>134</v>
      </c>
      <c r="B120" s="7" t="s">
        <v>8</v>
      </c>
      <c r="C120" t="s">
        <v>24</v>
      </c>
      <c r="D120" s="7" t="str">
        <f t="shared" si="3"/>
        <v>Mid</v>
      </c>
      <c r="E120" s="2">
        <v>685000</v>
      </c>
      <c r="F120" s="2">
        <v>76000</v>
      </c>
      <c r="G120" s="2">
        <v>15000</v>
      </c>
      <c r="H120" t="s">
        <v>10</v>
      </c>
      <c r="I120" s="2">
        <f t="shared" ref="I120:I142" si="8">E120+F120</f>
        <v>761000</v>
      </c>
      <c r="J120" s="2">
        <f t="shared" si="5"/>
        <v>776000</v>
      </c>
    </row>
    <row r="121" spans="1:10">
      <c r="A121" s="7" t="s">
        <v>135</v>
      </c>
      <c r="B121" s="7" t="s">
        <v>8</v>
      </c>
      <c r="C121" t="s">
        <v>12</v>
      </c>
      <c r="D121" s="7" t="str">
        <f t="shared" si="3"/>
        <v>Mid</v>
      </c>
      <c r="E121" s="2">
        <v>686000</v>
      </c>
      <c r="F121" s="2">
        <v>80000</v>
      </c>
      <c r="G121" s="2">
        <v>22000</v>
      </c>
      <c r="H121" t="s">
        <v>10</v>
      </c>
      <c r="I121" s="2">
        <f t="shared" si="8"/>
        <v>766000</v>
      </c>
      <c r="J121" s="2">
        <f t="shared" si="5"/>
        <v>788000</v>
      </c>
    </row>
    <row r="122" spans="1:10">
      <c r="A122" s="7" t="s">
        <v>136</v>
      </c>
      <c r="B122" s="7" t="s">
        <v>8</v>
      </c>
      <c r="C122" t="s">
        <v>9</v>
      </c>
      <c r="D122" s="7" t="str">
        <f t="shared" si="3"/>
        <v>Mid</v>
      </c>
      <c r="E122" s="2">
        <v>907000</v>
      </c>
      <c r="F122" s="2">
        <v>119000</v>
      </c>
      <c r="G122" s="2">
        <v>18000</v>
      </c>
      <c r="H122" t="s">
        <v>10</v>
      </c>
      <c r="I122" s="2">
        <f t="shared" si="8"/>
        <v>1026000</v>
      </c>
      <c r="J122" s="2">
        <f t="shared" si="5"/>
        <v>1044000</v>
      </c>
    </row>
    <row r="123" spans="1:10">
      <c r="A123" s="7" t="s">
        <v>137</v>
      </c>
      <c r="B123" s="7" t="s">
        <v>8</v>
      </c>
      <c r="C123" t="s">
        <v>26</v>
      </c>
      <c r="D123" s="7" t="str">
        <f t="shared" si="3"/>
        <v>Senior</v>
      </c>
      <c r="E123" s="2">
        <v>1049000</v>
      </c>
      <c r="F123" s="2">
        <v>133000</v>
      </c>
      <c r="G123" s="2">
        <v>28000</v>
      </c>
      <c r="H123" t="s">
        <v>10</v>
      </c>
      <c r="I123" s="2">
        <f t="shared" si="8"/>
        <v>1182000</v>
      </c>
      <c r="J123" s="2">
        <f t="shared" si="5"/>
        <v>1210000</v>
      </c>
    </row>
    <row r="124" spans="1:10">
      <c r="A124" s="7" t="s">
        <v>138</v>
      </c>
      <c r="B124" s="7" t="s">
        <v>8</v>
      </c>
      <c r="C124" t="s">
        <v>26</v>
      </c>
      <c r="D124" s="7" t="str">
        <f t="shared" si="3"/>
        <v>Senior</v>
      </c>
      <c r="E124" s="2">
        <v>1093000</v>
      </c>
      <c r="F124" s="2">
        <v>142000</v>
      </c>
      <c r="G124" s="2">
        <v>28000</v>
      </c>
      <c r="H124" t="s">
        <v>10</v>
      </c>
      <c r="I124" s="2">
        <f t="shared" si="8"/>
        <v>1235000</v>
      </c>
      <c r="J124" s="2">
        <f t="shared" si="5"/>
        <v>1263000</v>
      </c>
    </row>
    <row r="125" spans="1:10">
      <c r="A125" s="7" t="s">
        <v>139</v>
      </c>
      <c r="B125" s="7" t="s">
        <v>8</v>
      </c>
      <c r="C125" t="s">
        <v>26</v>
      </c>
      <c r="D125" s="7" t="str">
        <f t="shared" si="3"/>
        <v>Senior</v>
      </c>
      <c r="E125" s="2">
        <v>1064000</v>
      </c>
      <c r="F125" s="2">
        <v>116000</v>
      </c>
      <c r="G125" s="2">
        <v>22000</v>
      </c>
      <c r="H125" t="s">
        <v>10</v>
      </c>
      <c r="I125" s="2">
        <f t="shared" si="8"/>
        <v>1180000</v>
      </c>
      <c r="J125" s="2">
        <f t="shared" si="5"/>
        <v>1202000</v>
      </c>
    </row>
    <row r="126" spans="1:10">
      <c r="A126" s="7" t="s">
        <v>140</v>
      </c>
      <c r="B126" s="7" t="s">
        <v>8</v>
      </c>
      <c r="C126" t="s">
        <v>19</v>
      </c>
      <c r="D126" s="7" t="str">
        <f t="shared" si="3"/>
        <v>Mid</v>
      </c>
      <c r="E126" s="2">
        <v>943000</v>
      </c>
      <c r="F126" s="2">
        <v>120000</v>
      </c>
      <c r="G126" s="2">
        <v>22000</v>
      </c>
      <c r="H126" t="s">
        <v>10</v>
      </c>
      <c r="I126" s="2">
        <f t="shared" si="8"/>
        <v>1063000</v>
      </c>
      <c r="J126" s="2">
        <f t="shared" si="5"/>
        <v>1085000</v>
      </c>
    </row>
    <row r="127" spans="1:10">
      <c r="A127" s="7" t="s">
        <v>141</v>
      </c>
      <c r="B127" s="7" t="s">
        <v>8</v>
      </c>
      <c r="C127" t="s">
        <v>26</v>
      </c>
      <c r="D127" s="7" t="str">
        <f t="shared" si="3"/>
        <v>Senior</v>
      </c>
      <c r="E127" s="2">
        <v>1165000</v>
      </c>
      <c r="F127" s="2">
        <v>162000</v>
      </c>
      <c r="G127" s="2">
        <v>25000</v>
      </c>
      <c r="H127" t="s">
        <v>10</v>
      </c>
      <c r="I127" s="2">
        <f t="shared" si="8"/>
        <v>1327000</v>
      </c>
      <c r="J127" s="2">
        <f t="shared" si="5"/>
        <v>1352000</v>
      </c>
    </row>
    <row r="128" spans="1:10">
      <c r="A128" s="7" t="s">
        <v>142</v>
      </c>
      <c r="B128" s="7" t="s">
        <v>8</v>
      </c>
      <c r="C128" t="s">
        <v>19</v>
      </c>
      <c r="D128" s="7" t="str">
        <f t="shared" si="3"/>
        <v>Mid</v>
      </c>
      <c r="E128" s="2">
        <v>820000</v>
      </c>
      <c r="F128" s="2">
        <v>94000</v>
      </c>
      <c r="G128" s="2">
        <v>25000</v>
      </c>
      <c r="H128" t="s">
        <v>13</v>
      </c>
      <c r="I128" s="2">
        <f t="shared" si="8"/>
        <v>914000</v>
      </c>
      <c r="J128" s="2">
        <f t="shared" si="5"/>
        <v>939000</v>
      </c>
    </row>
    <row r="129" spans="1:10">
      <c r="A129" s="7" t="s">
        <v>143</v>
      </c>
      <c r="B129" s="7" t="s">
        <v>8</v>
      </c>
      <c r="C129" t="s">
        <v>26</v>
      </c>
      <c r="D129" s="7" t="str">
        <f t="shared" si="3"/>
        <v>Senior</v>
      </c>
      <c r="E129" s="2">
        <v>1056000</v>
      </c>
      <c r="F129" s="2">
        <v>147000</v>
      </c>
      <c r="G129" s="2">
        <v>25000</v>
      </c>
      <c r="H129" t="s">
        <v>10</v>
      </c>
      <c r="I129" s="2">
        <f t="shared" si="8"/>
        <v>1203000</v>
      </c>
      <c r="J129" s="2">
        <f t="shared" si="5"/>
        <v>1228000</v>
      </c>
    </row>
    <row r="130" spans="1:10">
      <c r="A130" s="7" t="s">
        <v>144</v>
      </c>
      <c r="B130" s="7" t="s">
        <v>8</v>
      </c>
      <c r="C130" t="s">
        <v>12</v>
      </c>
      <c r="D130" s="7" t="str">
        <f t="shared" si="3"/>
        <v>Mid</v>
      </c>
      <c r="E130" s="2">
        <v>786000</v>
      </c>
      <c r="F130" s="2">
        <v>94000</v>
      </c>
      <c r="G130" s="2">
        <v>15000</v>
      </c>
      <c r="H130" t="s">
        <v>10</v>
      </c>
      <c r="I130" s="2">
        <f t="shared" si="8"/>
        <v>880000</v>
      </c>
      <c r="J130" s="2">
        <f t="shared" si="5"/>
        <v>895000</v>
      </c>
    </row>
    <row r="131" spans="1:10">
      <c r="A131" s="7" t="s">
        <v>145</v>
      </c>
      <c r="B131" s="7" t="s">
        <v>8</v>
      </c>
      <c r="C131" t="s">
        <v>26</v>
      </c>
      <c r="D131" s="7" t="str">
        <f t="shared" ref="D131:D194" si="9">IF(OR(ISNUMBER(SEARCH("Manager",C131)),ISNUMBER(SEARCH("Controller",C131))),"Leadership",IF(OR(ISNUMBER(SEARCH("Senior",C131)),ISNUMBER(SEARCH("Regional",C131))),"Senior",IF(OR(ISNUMBER(SEARCH("Engineer",C131)),ISNUMBER(SEARCH("Analyst",C131)),ISNUMBER(SEARCH("Specialist",C131)),ISNUMBER(SEARCH("Business Partner",C131)),ISNUMBER(SEARCH("Account Manager",C131))),"Mid","Entry")))</f>
        <v>Senior</v>
      </c>
      <c r="E131" s="2">
        <v>1097000</v>
      </c>
      <c r="F131" s="2">
        <v>118000</v>
      </c>
      <c r="G131" s="2">
        <v>15000</v>
      </c>
      <c r="H131" t="s">
        <v>10</v>
      </c>
      <c r="I131" s="2">
        <f t="shared" si="8"/>
        <v>1215000</v>
      </c>
      <c r="J131" s="2">
        <f t="shared" ref="J131:J194" si="10">I131+G131</f>
        <v>1230000</v>
      </c>
    </row>
    <row r="132" spans="1:10">
      <c r="A132" s="7" t="s">
        <v>146</v>
      </c>
      <c r="B132" s="7" t="s">
        <v>8</v>
      </c>
      <c r="C132" t="s">
        <v>24</v>
      </c>
      <c r="D132" s="7" t="str">
        <f t="shared" si="9"/>
        <v>Mid</v>
      </c>
      <c r="E132" s="2">
        <v>601000</v>
      </c>
      <c r="F132" s="2">
        <v>62000</v>
      </c>
      <c r="G132" s="2">
        <v>35000</v>
      </c>
      <c r="H132" t="s">
        <v>13</v>
      </c>
      <c r="I132" s="2">
        <f t="shared" si="8"/>
        <v>663000</v>
      </c>
      <c r="J132" s="2">
        <f t="shared" si="10"/>
        <v>698000</v>
      </c>
    </row>
    <row r="133" spans="1:10">
      <c r="A133" s="7" t="s">
        <v>147</v>
      </c>
      <c r="B133" s="7" t="s">
        <v>8</v>
      </c>
      <c r="C133" t="s">
        <v>9</v>
      </c>
      <c r="D133" s="7" t="str">
        <f t="shared" si="9"/>
        <v>Mid</v>
      </c>
      <c r="E133" s="2">
        <v>821000</v>
      </c>
      <c r="F133" s="2">
        <v>87000</v>
      </c>
      <c r="G133" s="2">
        <v>25000</v>
      </c>
      <c r="H133" t="s">
        <v>10</v>
      </c>
      <c r="I133" s="2">
        <f t="shared" si="8"/>
        <v>908000</v>
      </c>
      <c r="J133" s="2">
        <f t="shared" si="10"/>
        <v>933000</v>
      </c>
    </row>
    <row r="134" spans="1:10">
      <c r="A134" s="7" t="s">
        <v>148</v>
      </c>
      <c r="B134" s="7" t="s">
        <v>8</v>
      </c>
      <c r="C134" t="s">
        <v>12</v>
      </c>
      <c r="D134" s="7" t="str">
        <f t="shared" si="9"/>
        <v>Mid</v>
      </c>
      <c r="E134" s="2">
        <v>736000</v>
      </c>
      <c r="F134" s="2">
        <v>86000</v>
      </c>
      <c r="G134" s="2">
        <v>22000</v>
      </c>
      <c r="H134" t="s">
        <v>10</v>
      </c>
      <c r="I134" s="2">
        <f t="shared" si="8"/>
        <v>822000</v>
      </c>
      <c r="J134" s="2">
        <f t="shared" si="10"/>
        <v>844000</v>
      </c>
    </row>
    <row r="135" spans="1:10">
      <c r="A135" s="7" t="s">
        <v>149</v>
      </c>
      <c r="B135" s="7" t="s">
        <v>8</v>
      </c>
      <c r="C135" t="s">
        <v>26</v>
      </c>
      <c r="D135" s="7" t="str">
        <f t="shared" si="9"/>
        <v>Senior</v>
      </c>
      <c r="E135" s="2">
        <v>1210000</v>
      </c>
      <c r="F135" s="2">
        <v>135000</v>
      </c>
      <c r="G135" s="2">
        <v>30000</v>
      </c>
      <c r="H135" t="s">
        <v>10</v>
      </c>
      <c r="I135" s="2">
        <f t="shared" si="8"/>
        <v>1345000</v>
      </c>
      <c r="J135" s="2">
        <f t="shared" si="10"/>
        <v>1375000</v>
      </c>
    </row>
    <row r="136" spans="1:10">
      <c r="A136" s="7" t="s">
        <v>150</v>
      </c>
      <c r="B136" s="7" t="s">
        <v>8</v>
      </c>
      <c r="C136" t="s">
        <v>9</v>
      </c>
      <c r="D136" s="7" t="str">
        <f t="shared" si="9"/>
        <v>Mid</v>
      </c>
      <c r="E136" s="2">
        <v>931000</v>
      </c>
      <c r="F136" s="2">
        <v>121000</v>
      </c>
      <c r="G136" s="2">
        <v>22000</v>
      </c>
      <c r="H136" t="s">
        <v>10</v>
      </c>
      <c r="I136" s="2">
        <f t="shared" si="8"/>
        <v>1052000</v>
      </c>
      <c r="J136" s="2">
        <f t="shared" si="10"/>
        <v>1074000</v>
      </c>
    </row>
    <row r="137" spans="1:10">
      <c r="A137" s="7" t="s">
        <v>151</v>
      </c>
      <c r="B137" s="7" t="s">
        <v>8</v>
      </c>
      <c r="C137" t="s">
        <v>12</v>
      </c>
      <c r="D137" s="7" t="str">
        <f t="shared" si="9"/>
        <v>Mid</v>
      </c>
      <c r="E137" s="2">
        <v>661000</v>
      </c>
      <c r="F137" s="2">
        <v>72000</v>
      </c>
      <c r="G137" s="2">
        <v>18000</v>
      </c>
      <c r="H137" t="s">
        <v>10</v>
      </c>
      <c r="I137" s="2">
        <f t="shared" si="8"/>
        <v>733000</v>
      </c>
      <c r="J137" s="2">
        <f t="shared" si="10"/>
        <v>751000</v>
      </c>
    </row>
    <row r="138" spans="1:10">
      <c r="A138" s="7" t="s">
        <v>152</v>
      </c>
      <c r="B138" s="7" t="s">
        <v>8</v>
      </c>
      <c r="C138" t="s">
        <v>26</v>
      </c>
      <c r="D138" s="7" t="str">
        <f t="shared" si="9"/>
        <v>Senior</v>
      </c>
      <c r="E138" s="2">
        <v>1157000</v>
      </c>
      <c r="F138" s="2">
        <v>137000</v>
      </c>
      <c r="G138" s="2">
        <v>15000</v>
      </c>
      <c r="H138" t="s">
        <v>10</v>
      </c>
      <c r="I138" s="2">
        <f t="shared" si="8"/>
        <v>1294000</v>
      </c>
      <c r="J138" s="2">
        <f t="shared" si="10"/>
        <v>1309000</v>
      </c>
    </row>
    <row r="139" spans="1:10">
      <c r="A139" s="7" t="s">
        <v>153</v>
      </c>
      <c r="B139" s="7" t="s">
        <v>8</v>
      </c>
      <c r="C139" t="s">
        <v>9</v>
      </c>
      <c r="D139" s="7" t="str">
        <f t="shared" si="9"/>
        <v>Mid</v>
      </c>
      <c r="E139" s="2">
        <v>949000</v>
      </c>
      <c r="F139" s="2">
        <v>112000</v>
      </c>
      <c r="G139" s="2">
        <v>22000</v>
      </c>
      <c r="H139" t="s">
        <v>10</v>
      </c>
      <c r="I139" s="2">
        <f t="shared" si="8"/>
        <v>1061000</v>
      </c>
      <c r="J139" s="2">
        <f t="shared" si="10"/>
        <v>1083000</v>
      </c>
    </row>
    <row r="140" spans="1:10">
      <c r="A140" s="7" t="s">
        <v>154</v>
      </c>
      <c r="B140" s="7" t="s">
        <v>8</v>
      </c>
      <c r="C140" t="s">
        <v>19</v>
      </c>
      <c r="D140" s="7" t="str">
        <f t="shared" si="9"/>
        <v>Mid</v>
      </c>
      <c r="E140" s="2">
        <v>882000</v>
      </c>
      <c r="F140" s="2">
        <v>112000</v>
      </c>
      <c r="G140" s="2">
        <v>22000</v>
      </c>
      <c r="H140" t="s">
        <v>10</v>
      </c>
      <c r="I140" s="2">
        <f t="shared" si="8"/>
        <v>994000</v>
      </c>
      <c r="J140" s="2">
        <f t="shared" si="10"/>
        <v>1016000</v>
      </c>
    </row>
    <row r="141" spans="1:10">
      <c r="A141" s="7" t="s">
        <v>155</v>
      </c>
      <c r="B141" s="7" t="s">
        <v>8</v>
      </c>
      <c r="C141" t="s">
        <v>9</v>
      </c>
      <c r="D141" s="7" t="str">
        <f t="shared" si="9"/>
        <v>Mid</v>
      </c>
      <c r="E141" s="2">
        <v>938000</v>
      </c>
      <c r="F141" s="2">
        <v>128000</v>
      </c>
      <c r="G141" s="2">
        <v>20000</v>
      </c>
      <c r="H141" t="s">
        <v>13</v>
      </c>
      <c r="I141" s="2">
        <f t="shared" si="8"/>
        <v>1066000</v>
      </c>
      <c r="J141" s="2">
        <f t="shared" si="10"/>
        <v>1086000</v>
      </c>
    </row>
    <row r="142" spans="1:10">
      <c r="A142" s="7" t="s">
        <v>156</v>
      </c>
      <c r="B142" s="7" t="s">
        <v>8</v>
      </c>
      <c r="C142" t="s">
        <v>12</v>
      </c>
      <c r="D142" s="7" t="str">
        <f t="shared" si="9"/>
        <v>Mid</v>
      </c>
      <c r="E142" s="2">
        <v>697000</v>
      </c>
      <c r="F142" s="2">
        <v>91000</v>
      </c>
      <c r="G142" s="2">
        <v>25000</v>
      </c>
      <c r="H142" t="s">
        <v>10</v>
      </c>
      <c r="I142" s="2">
        <f t="shared" si="8"/>
        <v>788000</v>
      </c>
      <c r="J142" s="2">
        <f t="shared" si="10"/>
        <v>813000</v>
      </c>
    </row>
    <row r="143" spans="1:10">
      <c r="A143" s="7" t="s">
        <v>157</v>
      </c>
      <c r="B143" s="7" t="s">
        <v>8</v>
      </c>
      <c r="C143" t="s">
        <v>26</v>
      </c>
      <c r="D143" s="7" t="str">
        <f t="shared" si="9"/>
        <v>Senior</v>
      </c>
      <c r="E143" s="2">
        <v>1064000</v>
      </c>
      <c r="F143" s="2">
        <v>124000</v>
      </c>
      <c r="G143" s="2">
        <v>25000</v>
      </c>
      <c r="H143" t="s">
        <v>10</v>
      </c>
      <c r="I143" s="2">
        <f>E143+F143</f>
        <v>1188000</v>
      </c>
      <c r="J143" s="2">
        <f t="shared" si="10"/>
        <v>1213000</v>
      </c>
    </row>
    <row r="144" spans="1:10">
      <c r="A144" s="7" t="s">
        <v>158</v>
      </c>
      <c r="B144" s="7" t="s">
        <v>8</v>
      </c>
      <c r="C144" t="s">
        <v>26</v>
      </c>
      <c r="D144" s="7" t="str">
        <f t="shared" si="9"/>
        <v>Senior</v>
      </c>
      <c r="E144" s="2">
        <v>1009000</v>
      </c>
      <c r="F144" s="2">
        <v>103000</v>
      </c>
      <c r="G144" s="2">
        <v>30000</v>
      </c>
      <c r="H144" t="s">
        <v>10</v>
      </c>
      <c r="I144" s="2">
        <f t="shared" ref="I144:I207" si="11">E144+F144</f>
        <v>1112000</v>
      </c>
      <c r="J144" s="2">
        <f t="shared" si="10"/>
        <v>1142000</v>
      </c>
    </row>
    <row r="145" spans="1:10">
      <c r="A145" s="7" t="s">
        <v>159</v>
      </c>
      <c r="B145" s="7" t="s">
        <v>8</v>
      </c>
      <c r="C145" t="s">
        <v>9</v>
      </c>
      <c r="D145" s="7" t="str">
        <f t="shared" si="9"/>
        <v>Mid</v>
      </c>
      <c r="E145" s="2">
        <v>815000</v>
      </c>
      <c r="F145" s="2">
        <v>89000</v>
      </c>
      <c r="G145" s="2">
        <v>15000</v>
      </c>
      <c r="H145" t="s">
        <v>10</v>
      </c>
      <c r="I145" s="2">
        <f t="shared" si="11"/>
        <v>904000</v>
      </c>
      <c r="J145" s="2">
        <f t="shared" si="10"/>
        <v>919000</v>
      </c>
    </row>
    <row r="146" spans="1:10">
      <c r="A146" s="7" t="s">
        <v>160</v>
      </c>
      <c r="B146" s="7" t="s">
        <v>8</v>
      </c>
      <c r="C146" t="s">
        <v>9</v>
      </c>
      <c r="D146" s="7" t="str">
        <f t="shared" si="9"/>
        <v>Mid</v>
      </c>
      <c r="E146" s="2">
        <v>863000</v>
      </c>
      <c r="F146" s="2">
        <v>88000</v>
      </c>
      <c r="G146" s="2">
        <v>20000</v>
      </c>
      <c r="H146" t="s">
        <v>10</v>
      </c>
      <c r="I146" s="2">
        <f t="shared" si="11"/>
        <v>951000</v>
      </c>
      <c r="J146" s="2">
        <f t="shared" si="10"/>
        <v>971000</v>
      </c>
    </row>
    <row r="147" spans="1:10">
      <c r="A147" s="7" t="s">
        <v>161</v>
      </c>
      <c r="B147" s="7" t="s">
        <v>8</v>
      </c>
      <c r="C147" t="s">
        <v>9</v>
      </c>
      <c r="D147" s="7" t="str">
        <f t="shared" si="9"/>
        <v>Mid</v>
      </c>
      <c r="E147" s="2">
        <v>991000</v>
      </c>
      <c r="F147" s="2">
        <v>106000</v>
      </c>
      <c r="G147" s="2">
        <v>30000</v>
      </c>
      <c r="H147" t="s">
        <v>10</v>
      </c>
      <c r="I147" s="2">
        <f t="shared" si="11"/>
        <v>1097000</v>
      </c>
      <c r="J147" s="2">
        <f t="shared" si="10"/>
        <v>1127000</v>
      </c>
    </row>
    <row r="148" spans="1:10">
      <c r="A148" s="7" t="s">
        <v>162</v>
      </c>
      <c r="B148" s="7" t="s">
        <v>8</v>
      </c>
      <c r="C148" t="s">
        <v>26</v>
      </c>
      <c r="D148" s="7" t="str">
        <f t="shared" si="9"/>
        <v>Senior</v>
      </c>
      <c r="E148" s="2">
        <v>1012000</v>
      </c>
      <c r="F148" s="2">
        <v>115000</v>
      </c>
      <c r="G148" s="2">
        <v>28000</v>
      </c>
      <c r="H148" t="s">
        <v>10</v>
      </c>
      <c r="I148" s="2">
        <f t="shared" si="11"/>
        <v>1127000</v>
      </c>
      <c r="J148" s="2">
        <f t="shared" si="10"/>
        <v>1155000</v>
      </c>
    </row>
    <row r="149" spans="1:10">
      <c r="A149" s="7" t="s">
        <v>163</v>
      </c>
      <c r="B149" s="7" t="s">
        <v>8</v>
      </c>
      <c r="C149" t="s">
        <v>12</v>
      </c>
      <c r="D149" s="7" t="str">
        <f t="shared" si="9"/>
        <v>Mid</v>
      </c>
      <c r="E149" s="2">
        <v>673000</v>
      </c>
      <c r="F149" s="2">
        <v>78000</v>
      </c>
      <c r="G149" s="2">
        <v>35000</v>
      </c>
      <c r="H149" t="s">
        <v>10</v>
      </c>
      <c r="I149" s="2">
        <f t="shared" si="11"/>
        <v>751000</v>
      </c>
      <c r="J149" s="2">
        <f t="shared" si="10"/>
        <v>786000</v>
      </c>
    </row>
    <row r="150" spans="1:10">
      <c r="A150" s="7" t="s">
        <v>164</v>
      </c>
      <c r="B150" s="7" t="s">
        <v>8</v>
      </c>
      <c r="C150" t="s">
        <v>24</v>
      </c>
      <c r="D150" s="7" t="str">
        <f t="shared" si="9"/>
        <v>Mid</v>
      </c>
      <c r="E150" s="2">
        <v>701000</v>
      </c>
      <c r="F150" s="2">
        <v>86000</v>
      </c>
      <c r="G150" s="2">
        <v>35000</v>
      </c>
      <c r="H150" t="s">
        <v>10</v>
      </c>
      <c r="I150" s="2">
        <f t="shared" si="11"/>
        <v>787000</v>
      </c>
      <c r="J150" s="2">
        <f t="shared" si="10"/>
        <v>822000</v>
      </c>
    </row>
    <row r="151" spans="1:10">
      <c r="A151" s="7" t="s">
        <v>165</v>
      </c>
      <c r="B151" s="7" t="s">
        <v>8</v>
      </c>
      <c r="C151" t="s">
        <v>12</v>
      </c>
      <c r="D151" s="7" t="str">
        <f t="shared" si="9"/>
        <v>Mid</v>
      </c>
      <c r="E151" s="2">
        <v>666000</v>
      </c>
      <c r="F151" s="2">
        <v>87000</v>
      </c>
      <c r="G151" s="2">
        <v>15000</v>
      </c>
      <c r="H151" t="s">
        <v>10</v>
      </c>
      <c r="I151" s="2">
        <f t="shared" si="11"/>
        <v>753000</v>
      </c>
      <c r="J151" s="2">
        <f t="shared" si="10"/>
        <v>768000</v>
      </c>
    </row>
    <row r="152" spans="1:10">
      <c r="A152" s="7" t="s">
        <v>166</v>
      </c>
      <c r="B152" s="7" t="s">
        <v>167</v>
      </c>
      <c r="C152" t="s">
        <v>168</v>
      </c>
      <c r="D152" s="7" t="str">
        <f t="shared" si="9"/>
        <v>Entry</v>
      </c>
      <c r="E152" s="2">
        <v>644000</v>
      </c>
      <c r="F152" s="2">
        <v>69000</v>
      </c>
      <c r="G152" s="2">
        <v>28000</v>
      </c>
      <c r="H152" t="s">
        <v>10</v>
      </c>
      <c r="I152" s="2">
        <f t="shared" si="11"/>
        <v>713000</v>
      </c>
      <c r="J152" s="2">
        <f t="shared" si="10"/>
        <v>741000</v>
      </c>
    </row>
    <row r="153" spans="1:10">
      <c r="A153" s="7" t="s">
        <v>169</v>
      </c>
      <c r="B153" s="7" t="s">
        <v>167</v>
      </c>
      <c r="C153" t="s">
        <v>168</v>
      </c>
      <c r="D153" s="7" t="str">
        <f t="shared" si="9"/>
        <v>Entry</v>
      </c>
      <c r="E153" s="2">
        <v>648000</v>
      </c>
      <c r="F153" s="2">
        <v>66000</v>
      </c>
      <c r="G153" s="2">
        <v>25000</v>
      </c>
      <c r="H153" t="s">
        <v>10</v>
      </c>
      <c r="I153" s="2">
        <f t="shared" si="11"/>
        <v>714000</v>
      </c>
      <c r="J153" s="2">
        <f t="shared" si="10"/>
        <v>739000</v>
      </c>
    </row>
    <row r="154" spans="1:10">
      <c r="A154" s="7" t="s">
        <v>170</v>
      </c>
      <c r="B154" s="7" t="s">
        <v>167</v>
      </c>
      <c r="C154" t="s">
        <v>171</v>
      </c>
      <c r="D154" s="7" t="str">
        <f t="shared" si="9"/>
        <v>Leadership</v>
      </c>
      <c r="E154" s="2">
        <v>1096000</v>
      </c>
      <c r="F154" s="2">
        <v>140000</v>
      </c>
      <c r="G154" s="2">
        <v>18000</v>
      </c>
      <c r="H154" t="s">
        <v>13</v>
      </c>
      <c r="I154" s="2">
        <f t="shared" si="11"/>
        <v>1236000</v>
      </c>
      <c r="J154" s="2">
        <f t="shared" si="10"/>
        <v>1254000</v>
      </c>
    </row>
    <row r="155" spans="1:10">
      <c r="A155" s="7" t="s">
        <v>172</v>
      </c>
      <c r="B155" s="7" t="s">
        <v>167</v>
      </c>
      <c r="C155" t="s">
        <v>168</v>
      </c>
      <c r="D155" s="7" t="str">
        <f t="shared" si="9"/>
        <v>Entry</v>
      </c>
      <c r="E155" s="2">
        <v>699000</v>
      </c>
      <c r="F155" s="2">
        <v>90000</v>
      </c>
      <c r="G155" s="2">
        <v>25000</v>
      </c>
      <c r="H155" t="s">
        <v>10</v>
      </c>
      <c r="I155" s="2">
        <f t="shared" si="11"/>
        <v>789000</v>
      </c>
      <c r="J155" s="2">
        <f t="shared" si="10"/>
        <v>814000</v>
      </c>
    </row>
    <row r="156" spans="1:10">
      <c r="A156" s="7" t="s">
        <v>173</v>
      </c>
      <c r="B156" s="7" t="s">
        <v>167</v>
      </c>
      <c r="C156" t="s">
        <v>168</v>
      </c>
      <c r="D156" s="7" t="str">
        <f t="shared" si="9"/>
        <v>Entry</v>
      </c>
      <c r="E156" s="2">
        <v>598000</v>
      </c>
      <c r="F156" s="2">
        <v>84000</v>
      </c>
      <c r="G156" s="2">
        <v>18000</v>
      </c>
      <c r="H156" t="s">
        <v>10</v>
      </c>
      <c r="I156" s="2">
        <f t="shared" si="11"/>
        <v>682000</v>
      </c>
      <c r="J156" s="2">
        <f t="shared" si="10"/>
        <v>700000</v>
      </c>
    </row>
    <row r="157" spans="1:10">
      <c r="A157" s="7" t="s">
        <v>174</v>
      </c>
      <c r="B157" s="7" t="s">
        <v>167</v>
      </c>
      <c r="C157" t="s">
        <v>175</v>
      </c>
      <c r="D157" s="7" t="str">
        <f t="shared" si="9"/>
        <v>Entry</v>
      </c>
      <c r="E157" s="2">
        <v>650000</v>
      </c>
      <c r="F157" s="2">
        <v>78000</v>
      </c>
      <c r="G157" s="2">
        <v>25000</v>
      </c>
      <c r="H157" t="s">
        <v>10</v>
      </c>
      <c r="I157" s="2">
        <f t="shared" si="11"/>
        <v>728000</v>
      </c>
      <c r="J157" s="2">
        <f t="shared" si="10"/>
        <v>753000</v>
      </c>
    </row>
    <row r="158" spans="1:10">
      <c r="A158" s="7" t="s">
        <v>176</v>
      </c>
      <c r="B158" s="7" t="s">
        <v>167</v>
      </c>
      <c r="C158" t="s">
        <v>175</v>
      </c>
      <c r="D158" s="7" t="str">
        <f t="shared" si="9"/>
        <v>Entry</v>
      </c>
      <c r="E158" s="2">
        <v>650000</v>
      </c>
      <c r="F158" s="2">
        <v>90000</v>
      </c>
      <c r="G158" s="2">
        <v>22000</v>
      </c>
      <c r="H158" t="s">
        <v>10</v>
      </c>
      <c r="I158" s="2">
        <f t="shared" si="11"/>
        <v>740000</v>
      </c>
      <c r="J158" s="2">
        <f t="shared" si="10"/>
        <v>762000</v>
      </c>
    </row>
    <row r="159" spans="1:10">
      <c r="A159" s="7" t="s">
        <v>177</v>
      </c>
      <c r="B159" s="7" t="s">
        <v>167</v>
      </c>
      <c r="C159" t="s">
        <v>175</v>
      </c>
      <c r="D159" s="7" t="str">
        <f t="shared" si="9"/>
        <v>Entry</v>
      </c>
      <c r="E159" s="2">
        <v>565000</v>
      </c>
      <c r="F159" s="2">
        <v>70000</v>
      </c>
      <c r="G159" s="2">
        <v>20000</v>
      </c>
      <c r="H159" t="s">
        <v>10</v>
      </c>
      <c r="I159" s="2">
        <f t="shared" si="11"/>
        <v>635000</v>
      </c>
      <c r="J159" s="2">
        <f t="shared" si="10"/>
        <v>655000</v>
      </c>
    </row>
    <row r="160" spans="1:10">
      <c r="A160" s="7" t="s">
        <v>178</v>
      </c>
      <c r="B160" s="7" t="s">
        <v>167</v>
      </c>
      <c r="C160" t="s">
        <v>175</v>
      </c>
      <c r="D160" s="7" t="str">
        <f t="shared" si="9"/>
        <v>Entry</v>
      </c>
      <c r="E160" s="2">
        <v>644000</v>
      </c>
      <c r="F160" s="2">
        <v>75000</v>
      </c>
      <c r="G160" s="2">
        <v>25000</v>
      </c>
      <c r="H160" t="s">
        <v>10</v>
      </c>
      <c r="I160" s="2">
        <f t="shared" si="11"/>
        <v>719000</v>
      </c>
      <c r="J160" s="2">
        <f t="shared" si="10"/>
        <v>744000</v>
      </c>
    </row>
    <row r="161" spans="1:10">
      <c r="A161" s="7" t="s">
        <v>179</v>
      </c>
      <c r="B161" s="7" t="s">
        <v>167</v>
      </c>
      <c r="C161" t="s">
        <v>175</v>
      </c>
      <c r="D161" s="7" t="str">
        <f t="shared" si="9"/>
        <v>Entry</v>
      </c>
      <c r="E161" s="2">
        <v>579000</v>
      </c>
      <c r="F161" s="2">
        <v>71000</v>
      </c>
      <c r="G161" s="2">
        <v>35000</v>
      </c>
      <c r="H161" t="s">
        <v>10</v>
      </c>
      <c r="I161" s="2">
        <f t="shared" si="11"/>
        <v>650000</v>
      </c>
      <c r="J161" s="2">
        <f t="shared" si="10"/>
        <v>685000</v>
      </c>
    </row>
    <row r="162" spans="1:10">
      <c r="A162" s="7" t="s">
        <v>180</v>
      </c>
      <c r="B162" s="7" t="s">
        <v>167</v>
      </c>
      <c r="C162" t="s">
        <v>168</v>
      </c>
      <c r="D162" s="7" t="str">
        <f t="shared" si="9"/>
        <v>Entry</v>
      </c>
      <c r="E162" s="2">
        <v>654000</v>
      </c>
      <c r="F162" s="2">
        <v>74000</v>
      </c>
      <c r="G162" s="2">
        <v>30000</v>
      </c>
      <c r="H162" t="s">
        <v>10</v>
      </c>
      <c r="I162" s="2">
        <f t="shared" si="11"/>
        <v>728000</v>
      </c>
      <c r="J162" s="2">
        <f t="shared" si="10"/>
        <v>758000</v>
      </c>
    </row>
    <row r="163" spans="1:10">
      <c r="A163" s="7" t="s">
        <v>181</v>
      </c>
      <c r="B163" s="7" t="s">
        <v>167</v>
      </c>
      <c r="C163" t="s">
        <v>175</v>
      </c>
      <c r="D163" s="7" t="str">
        <f t="shared" si="9"/>
        <v>Entry</v>
      </c>
      <c r="E163" s="2">
        <v>565000</v>
      </c>
      <c r="F163" s="2">
        <v>72000</v>
      </c>
      <c r="G163" s="2">
        <v>30000</v>
      </c>
      <c r="H163" t="s">
        <v>10</v>
      </c>
      <c r="I163" s="2">
        <f t="shared" si="11"/>
        <v>637000</v>
      </c>
      <c r="J163" s="2">
        <f t="shared" si="10"/>
        <v>667000</v>
      </c>
    </row>
    <row r="164" spans="1:10">
      <c r="A164" s="7" t="s">
        <v>182</v>
      </c>
      <c r="B164" s="7" t="s">
        <v>167</v>
      </c>
      <c r="C164" t="s">
        <v>183</v>
      </c>
      <c r="D164" s="7" t="str">
        <f t="shared" si="9"/>
        <v>Leadership</v>
      </c>
      <c r="E164" s="2">
        <v>773000</v>
      </c>
      <c r="F164" s="2">
        <v>100000</v>
      </c>
      <c r="G164" s="2">
        <v>30000</v>
      </c>
      <c r="H164" t="s">
        <v>10</v>
      </c>
      <c r="I164" s="2">
        <f t="shared" si="11"/>
        <v>873000</v>
      </c>
      <c r="J164" s="2">
        <f t="shared" si="10"/>
        <v>903000</v>
      </c>
    </row>
    <row r="165" spans="1:10">
      <c r="A165" s="7" t="s">
        <v>184</v>
      </c>
      <c r="B165" s="7" t="s">
        <v>167</v>
      </c>
      <c r="C165" t="s">
        <v>183</v>
      </c>
      <c r="D165" s="7" t="str">
        <f t="shared" si="9"/>
        <v>Leadership</v>
      </c>
      <c r="E165" s="2">
        <v>918000</v>
      </c>
      <c r="F165" s="2">
        <v>128000</v>
      </c>
      <c r="G165" s="2">
        <v>35000</v>
      </c>
      <c r="H165" t="s">
        <v>10</v>
      </c>
      <c r="I165" s="2">
        <f t="shared" si="11"/>
        <v>1046000</v>
      </c>
      <c r="J165" s="2">
        <f t="shared" si="10"/>
        <v>1081000</v>
      </c>
    </row>
    <row r="166" spans="1:10">
      <c r="A166" s="7" t="s">
        <v>185</v>
      </c>
      <c r="B166" s="7" t="s">
        <v>167</v>
      </c>
      <c r="C166" t="s">
        <v>175</v>
      </c>
      <c r="D166" s="7" t="str">
        <f t="shared" si="9"/>
        <v>Entry</v>
      </c>
      <c r="E166" s="2">
        <v>667000</v>
      </c>
      <c r="F166" s="2">
        <v>76000</v>
      </c>
      <c r="G166" s="2">
        <v>18000</v>
      </c>
      <c r="H166" t="s">
        <v>10</v>
      </c>
      <c r="I166" s="2">
        <f t="shared" si="11"/>
        <v>743000</v>
      </c>
      <c r="J166" s="2">
        <f t="shared" si="10"/>
        <v>761000</v>
      </c>
    </row>
    <row r="167" spans="1:10">
      <c r="A167" s="7" t="s">
        <v>186</v>
      </c>
      <c r="B167" s="7" t="s">
        <v>167</v>
      </c>
      <c r="C167" t="s">
        <v>168</v>
      </c>
      <c r="D167" s="7" t="str">
        <f t="shared" si="9"/>
        <v>Entry</v>
      </c>
      <c r="E167" s="2">
        <v>660000</v>
      </c>
      <c r="F167" s="2">
        <v>78000</v>
      </c>
      <c r="G167" s="2">
        <v>20000</v>
      </c>
      <c r="H167" t="s">
        <v>10</v>
      </c>
      <c r="I167" s="2">
        <f t="shared" si="11"/>
        <v>738000</v>
      </c>
      <c r="J167" s="2">
        <f t="shared" si="10"/>
        <v>758000</v>
      </c>
    </row>
    <row r="168" spans="1:10">
      <c r="A168" s="7" t="s">
        <v>187</v>
      </c>
      <c r="B168" s="7" t="s">
        <v>167</v>
      </c>
      <c r="C168" t="s">
        <v>183</v>
      </c>
      <c r="D168" s="7" t="str">
        <f t="shared" si="9"/>
        <v>Leadership</v>
      </c>
      <c r="E168" s="2">
        <v>794000</v>
      </c>
      <c r="F168" s="2">
        <v>94000</v>
      </c>
      <c r="G168" s="2">
        <v>25000</v>
      </c>
      <c r="H168" t="s">
        <v>10</v>
      </c>
      <c r="I168" s="2">
        <f t="shared" si="11"/>
        <v>888000</v>
      </c>
      <c r="J168" s="2">
        <f t="shared" si="10"/>
        <v>913000</v>
      </c>
    </row>
    <row r="169" spans="1:10">
      <c r="A169" s="7" t="s">
        <v>188</v>
      </c>
      <c r="B169" s="7" t="s">
        <v>167</v>
      </c>
      <c r="C169" t="s">
        <v>183</v>
      </c>
      <c r="D169" s="7" t="str">
        <f t="shared" si="9"/>
        <v>Leadership</v>
      </c>
      <c r="E169" s="2">
        <v>887000</v>
      </c>
      <c r="F169" s="2">
        <v>119000</v>
      </c>
      <c r="G169" s="2">
        <v>30000</v>
      </c>
      <c r="H169" t="s">
        <v>10</v>
      </c>
      <c r="I169" s="2">
        <f t="shared" si="11"/>
        <v>1006000</v>
      </c>
      <c r="J169" s="2">
        <f t="shared" si="10"/>
        <v>1036000</v>
      </c>
    </row>
    <row r="170" spans="1:10">
      <c r="A170" s="7" t="s">
        <v>189</v>
      </c>
      <c r="B170" s="7" t="s">
        <v>167</v>
      </c>
      <c r="C170" t="s">
        <v>168</v>
      </c>
      <c r="D170" s="7" t="str">
        <f t="shared" si="9"/>
        <v>Entry</v>
      </c>
      <c r="E170" s="2">
        <v>712000</v>
      </c>
      <c r="F170" s="2">
        <v>85000</v>
      </c>
      <c r="G170" s="2">
        <v>15000</v>
      </c>
      <c r="H170" t="s">
        <v>10</v>
      </c>
      <c r="I170" s="2">
        <f t="shared" si="11"/>
        <v>797000</v>
      </c>
      <c r="J170" s="2">
        <f t="shared" si="10"/>
        <v>812000</v>
      </c>
    </row>
    <row r="171" spans="1:10">
      <c r="A171" s="7" t="s">
        <v>190</v>
      </c>
      <c r="B171" s="7" t="s">
        <v>167</v>
      </c>
      <c r="C171" t="s">
        <v>175</v>
      </c>
      <c r="D171" s="7" t="str">
        <f t="shared" si="9"/>
        <v>Entry</v>
      </c>
      <c r="E171" s="2">
        <v>630000</v>
      </c>
      <c r="F171" s="2">
        <v>70000</v>
      </c>
      <c r="G171" s="2">
        <v>22000</v>
      </c>
      <c r="H171" t="s">
        <v>10</v>
      </c>
      <c r="I171" s="2">
        <f t="shared" si="11"/>
        <v>700000</v>
      </c>
      <c r="J171" s="2">
        <f t="shared" si="10"/>
        <v>722000</v>
      </c>
    </row>
    <row r="172" spans="1:10">
      <c r="A172" s="7" t="s">
        <v>191</v>
      </c>
      <c r="B172" s="7" t="s">
        <v>167</v>
      </c>
      <c r="C172" t="s">
        <v>168</v>
      </c>
      <c r="D172" s="7" t="str">
        <f t="shared" si="9"/>
        <v>Entry</v>
      </c>
      <c r="E172" s="2">
        <v>599000</v>
      </c>
      <c r="F172" s="2">
        <v>75000</v>
      </c>
      <c r="G172" s="2">
        <v>18000</v>
      </c>
      <c r="H172" t="s">
        <v>10</v>
      </c>
      <c r="I172" s="2">
        <f t="shared" si="11"/>
        <v>674000</v>
      </c>
      <c r="J172" s="2">
        <f t="shared" si="10"/>
        <v>692000</v>
      </c>
    </row>
    <row r="173" spans="1:10">
      <c r="A173" s="7" t="s">
        <v>192</v>
      </c>
      <c r="B173" s="7" t="s">
        <v>167</v>
      </c>
      <c r="C173" t="s">
        <v>183</v>
      </c>
      <c r="D173" s="7" t="str">
        <f t="shared" si="9"/>
        <v>Leadership</v>
      </c>
      <c r="E173" s="2">
        <v>934000</v>
      </c>
      <c r="F173" s="2">
        <v>95000</v>
      </c>
      <c r="G173" s="2">
        <v>15000</v>
      </c>
      <c r="H173" t="s">
        <v>10</v>
      </c>
      <c r="I173" s="2">
        <f t="shared" si="11"/>
        <v>1029000</v>
      </c>
      <c r="J173" s="2">
        <f t="shared" si="10"/>
        <v>1044000</v>
      </c>
    </row>
    <row r="174" spans="1:10">
      <c r="A174" s="7" t="s">
        <v>193</v>
      </c>
      <c r="B174" s="7" t="s">
        <v>167</v>
      </c>
      <c r="C174" t="s">
        <v>175</v>
      </c>
      <c r="D174" s="7" t="str">
        <f t="shared" si="9"/>
        <v>Entry</v>
      </c>
      <c r="E174" s="2">
        <v>559000</v>
      </c>
      <c r="F174" s="2">
        <v>68000</v>
      </c>
      <c r="G174" s="2">
        <v>20000</v>
      </c>
      <c r="H174" t="s">
        <v>10</v>
      </c>
      <c r="I174" s="2">
        <f t="shared" si="11"/>
        <v>627000</v>
      </c>
      <c r="J174" s="2">
        <f t="shared" si="10"/>
        <v>647000</v>
      </c>
    </row>
    <row r="175" spans="1:10">
      <c r="A175" s="7" t="s">
        <v>194</v>
      </c>
      <c r="B175" s="7" t="s">
        <v>167</v>
      </c>
      <c r="C175" t="s">
        <v>175</v>
      </c>
      <c r="D175" s="7" t="str">
        <f t="shared" si="9"/>
        <v>Entry</v>
      </c>
      <c r="E175" s="2">
        <v>655000</v>
      </c>
      <c r="F175" s="2">
        <v>82000</v>
      </c>
      <c r="G175" s="2">
        <v>22000</v>
      </c>
      <c r="H175" t="s">
        <v>10</v>
      </c>
      <c r="I175" s="2">
        <f t="shared" si="11"/>
        <v>737000</v>
      </c>
      <c r="J175" s="2">
        <f t="shared" si="10"/>
        <v>759000</v>
      </c>
    </row>
    <row r="176" spans="1:10">
      <c r="A176" s="7" t="s">
        <v>195</v>
      </c>
      <c r="B176" s="7" t="s">
        <v>167</v>
      </c>
      <c r="C176" t="s">
        <v>168</v>
      </c>
      <c r="D176" s="7" t="str">
        <f t="shared" si="9"/>
        <v>Entry</v>
      </c>
      <c r="E176" s="2">
        <v>618000</v>
      </c>
      <c r="F176" s="2">
        <v>78000</v>
      </c>
      <c r="G176" s="2">
        <v>35000</v>
      </c>
      <c r="H176" t="s">
        <v>10</v>
      </c>
      <c r="I176" s="2">
        <f t="shared" si="11"/>
        <v>696000</v>
      </c>
      <c r="J176" s="2">
        <f t="shared" si="10"/>
        <v>731000</v>
      </c>
    </row>
    <row r="177" spans="1:10">
      <c r="A177" s="7" t="s">
        <v>196</v>
      </c>
      <c r="B177" s="7" t="s">
        <v>167</v>
      </c>
      <c r="C177" t="s">
        <v>175</v>
      </c>
      <c r="D177" s="7" t="str">
        <f t="shared" si="9"/>
        <v>Entry</v>
      </c>
      <c r="E177" s="2">
        <v>646000</v>
      </c>
      <c r="F177" s="2">
        <v>88000</v>
      </c>
      <c r="G177" s="2">
        <v>20000</v>
      </c>
      <c r="H177" t="s">
        <v>13</v>
      </c>
      <c r="I177" s="2">
        <f t="shared" si="11"/>
        <v>734000</v>
      </c>
      <c r="J177" s="2">
        <f t="shared" si="10"/>
        <v>754000</v>
      </c>
    </row>
    <row r="178" spans="1:10">
      <c r="A178" s="7" t="s">
        <v>197</v>
      </c>
      <c r="B178" s="7" t="s">
        <v>167</v>
      </c>
      <c r="C178" t="s">
        <v>171</v>
      </c>
      <c r="D178" s="7" t="str">
        <f t="shared" si="9"/>
        <v>Leadership</v>
      </c>
      <c r="E178" s="2">
        <v>1229000</v>
      </c>
      <c r="F178" s="2">
        <v>138000</v>
      </c>
      <c r="G178" s="2">
        <v>30000</v>
      </c>
      <c r="H178" t="s">
        <v>10</v>
      </c>
      <c r="I178" s="2">
        <f t="shared" si="11"/>
        <v>1367000</v>
      </c>
      <c r="J178" s="2">
        <f t="shared" si="10"/>
        <v>1397000</v>
      </c>
    </row>
    <row r="179" spans="1:10">
      <c r="A179" s="7" t="s">
        <v>198</v>
      </c>
      <c r="B179" s="7" t="s">
        <v>167</v>
      </c>
      <c r="C179" t="s">
        <v>168</v>
      </c>
      <c r="D179" s="7" t="str">
        <f t="shared" si="9"/>
        <v>Entry</v>
      </c>
      <c r="E179" s="2">
        <v>628000</v>
      </c>
      <c r="F179" s="2">
        <v>88000</v>
      </c>
      <c r="G179" s="2">
        <v>35000</v>
      </c>
      <c r="H179" t="s">
        <v>10</v>
      </c>
      <c r="I179" s="2">
        <f t="shared" si="11"/>
        <v>716000</v>
      </c>
      <c r="J179" s="2">
        <f t="shared" si="10"/>
        <v>751000</v>
      </c>
    </row>
    <row r="180" spans="1:10">
      <c r="A180" s="7" t="s">
        <v>199</v>
      </c>
      <c r="B180" s="7" t="s">
        <v>167</v>
      </c>
      <c r="C180" t="s">
        <v>175</v>
      </c>
      <c r="D180" s="7" t="str">
        <f t="shared" si="9"/>
        <v>Entry</v>
      </c>
      <c r="E180" s="2">
        <v>587000</v>
      </c>
      <c r="F180" s="2">
        <v>66000</v>
      </c>
      <c r="G180" s="2">
        <v>25000</v>
      </c>
      <c r="H180" t="s">
        <v>13</v>
      </c>
      <c r="I180" s="2">
        <f t="shared" si="11"/>
        <v>653000</v>
      </c>
      <c r="J180" s="2">
        <f t="shared" si="10"/>
        <v>678000</v>
      </c>
    </row>
    <row r="181" spans="1:10">
      <c r="A181" s="7" t="s">
        <v>200</v>
      </c>
      <c r="B181" s="7" t="s">
        <v>167</v>
      </c>
      <c r="C181" t="s">
        <v>183</v>
      </c>
      <c r="D181" s="7" t="str">
        <f t="shared" si="9"/>
        <v>Leadership</v>
      </c>
      <c r="E181" s="2">
        <v>839000</v>
      </c>
      <c r="F181" s="2">
        <v>84000</v>
      </c>
      <c r="G181" s="2">
        <v>15000</v>
      </c>
      <c r="H181" t="s">
        <v>10</v>
      </c>
      <c r="I181" s="2">
        <f t="shared" si="11"/>
        <v>923000</v>
      </c>
      <c r="J181" s="2">
        <f t="shared" si="10"/>
        <v>938000</v>
      </c>
    </row>
    <row r="182" spans="1:10">
      <c r="A182" s="7" t="s">
        <v>201</v>
      </c>
      <c r="B182" s="7" t="s">
        <v>167</v>
      </c>
      <c r="C182" t="s">
        <v>183</v>
      </c>
      <c r="D182" s="7" t="str">
        <f t="shared" si="9"/>
        <v>Leadership</v>
      </c>
      <c r="E182" s="2">
        <v>921000</v>
      </c>
      <c r="F182" s="2">
        <v>125000</v>
      </c>
      <c r="G182" s="2">
        <v>22000</v>
      </c>
      <c r="H182" t="s">
        <v>10</v>
      </c>
      <c r="I182" s="2">
        <f t="shared" si="11"/>
        <v>1046000</v>
      </c>
      <c r="J182" s="2">
        <f t="shared" si="10"/>
        <v>1068000</v>
      </c>
    </row>
    <row r="183" spans="1:10">
      <c r="A183" s="7" t="s">
        <v>202</v>
      </c>
      <c r="B183" s="7" t="s">
        <v>167</v>
      </c>
      <c r="C183" t="s">
        <v>175</v>
      </c>
      <c r="D183" s="7" t="str">
        <f t="shared" si="9"/>
        <v>Entry</v>
      </c>
      <c r="E183" s="2">
        <v>624000</v>
      </c>
      <c r="F183" s="2">
        <v>78000</v>
      </c>
      <c r="G183" s="2">
        <v>20000</v>
      </c>
      <c r="H183" t="s">
        <v>10</v>
      </c>
      <c r="I183" s="2">
        <f t="shared" si="11"/>
        <v>702000</v>
      </c>
      <c r="J183" s="2">
        <f t="shared" si="10"/>
        <v>722000</v>
      </c>
    </row>
    <row r="184" spans="1:10">
      <c r="A184" s="7" t="s">
        <v>203</v>
      </c>
      <c r="B184" s="7" t="s">
        <v>167</v>
      </c>
      <c r="C184" t="s">
        <v>171</v>
      </c>
      <c r="D184" s="7" t="str">
        <f t="shared" si="9"/>
        <v>Leadership</v>
      </c>
      <c r="E184" s="2">
        <v>1146000</v>
      </c>
      <c r="F184" s="2">
        <v>129000</v>
      </c>
      <c r="G184" s="2">
        <v>35000</v>
      </c>
      <c r="H184" t="s">
        <v>13</v>
      </c>
      <c r="I184" s="2">
        <f t="shared" si="11"/>
        <v>1275000</v>
      </c>
      <c r="J184" s="2">
        <f t="shared" si="10"/>
        <v>1310000</v>
      </c>
    </row>
    <row r="185" spans="1:10">
      <c r="A185" s="7" t="s">
        <v>204</v>
      </c>
      <c r="B185" s="7" t="s">
        <v>167</v>
      </c>
      <c r="C185" t="s">
        <v>175</v>
      </c>
      <c r="D185" s="7" t="str">
        <f t="shared" si="9"/>
        <v>Entry</v>
      </c>
      <c r="E185" s="2">
        <v>557000</v>
      </c>
      <c r="F185" s="2">
        <v>76000</v>
      </c>
      <c r="G185" s="2">
        <v>28000</v>
      </c>
      <c r="H185" t="s">
        <v>10</v>
      </c>
      <c r="I185" s="2">
        <f t="shared" si="11"/>
        <v>633000</v>
      </c>
      <c r="J185" s="2">
        <f t="shared" si="10"/>
        <v>661000</v>
      </c>
    </row>
    <row r="186" spans="1:10">
      <c r="A186" s="7" t="s">
        <v>205</v>
      </c>
      <c r="B186" s="7" t="s">
        <v>167</v>
      </c>
      <c r="C186" t="s">
        <v>175</v>
      </c>
      <c r="D186" s="7" t="str">
        <f t="shared" si="9"/>
        <v>Entry</v>
      </c>
      <c r="E186" s="2">
        <v>557000</v>
      </c>
      <c r="F186" s="2">
        <v>68000</v>
      </c>
      <c r="G186" s="2">
        <v>28000</v>
      </c>
      <c r="H186" t="s">
        <v>10</v>
      </c>
      <c r="I186" s="2">
        <f t="shared" si="11"/>
        <v>625000</v>
      </c>
      <c r="J186" s="2">
        <f t="shared" si="10"/>
        <v>653000</v>
      </c>
    </row>
    <row r="187" spans="1:10">
      <c r="A187" s="7" t="s">
        <v>206</v>
      </c>
      <c r="B187" s="7" t="s">
        <v>167</v>
      </c>
      <c r="C187" t="s">
        <v>171</v>
      </c>
      <c r="D187" s="7" t="str">
        <f t="shared" si="9"/>
        <v>Leadership</v>
      </c>
      <c r="E187" s="2">
        <v>1191000</v>
      </c>
      <c r="F187" s="2">
        <v>131000</v>
      </c>
      <c r="G187" s="2">
        <v>35000</v>
      </c>
      <c r="H187" t="s">
        <v>10</v>
      </c>
      <c r="I187" s="2">
        <f t="shared" si="11"/>
        <v>1322000</v>
      </c>
      <c r="J187" s="2">
        <f t="shared" si="10"/>
        <v>1357000</v>
      </c>
    </row>
    <row r="188" spans="1:10">
      <c r="A188" s="7" t="s">
        <v>207</v>
      </c>
      <c r="B188" s="7" t="s">
        <v>167</v>
      </c>
      <c r="C188" t="s">
        <v>175</v>
      </c>
      <c r="D188" s="7" t="str">
        <f t="shared" si="9"/>
        <v>Entry</v>
      </c>
      <c r="E188" s="2">
        <v>655000</v>
      </c>
      <c r="F188" s="2">
        <v>87000</v>
      </c>
      <c r="G188" s="2">
        <v>35000</v>
      </c>
      <c r="H188" t="s">
        <v>10</v>
      </c>
      <c r="I188" s="2">
        <f t="shared" si="11"/>
        <v>742000</v>
      </c>
      <c r="J188" s="2">
        <f t="shared" si="10"/>
        <v>777000</v>
      </c>
    </row>
    <row r="189" spans="1:10">
      <c r="A189" s="7" t="s">
        <v>208</v>
      </c>
      <c r="B189" s="7" t="s">
        <v>167</v>
      </c>
      <c r="C189" t="s">
        <v>175</v>
      </c>
      <c r="D189" s="7" t="str">
        <f t="shared" si="9"/>
        <v>Entry</v>
      </c>
      <c r="E189" s="2">
        <v>668000</v>
      </c>
      <c r="F189" s="2">
        <v>90000</v>
      </c>
      <c r="G189" s="2">
        <v>30000</v>
      </c>
      <c r="H189" t="s">
        <v>10</v>
      </c>
      <c r="I189" s="2">
        <f t="shared" si="11"/>
        <v>758000</v>
      </c>
      <c r="J189" s="2">
        <f t="shared" si="10"/>
        <v>788000</v>
      </c>
    </row>
    <row r="190" spans="1:10">
      <c r="A190" s="7" t="s">
        <v>209</v>
      </c>
      <c r="B190" s="7" t="s">
        <v>167</v>
      </c>
      <c r="C190" t="s">
        <v>183</v>
      </c>
      <c r="D190" s="7" t="str">
        <f t="shared" si="9"/>
        <v>Leadership</v>
      </c>
      <c r="E190" s="2">
        <v>833000</v>
      </c>
      <c r="F190" s="2">
        <v>110000</v>
      </c>
      <c r="G190" s="2">
        <v>15000</v>
      </c>
      <c r="H190" t="s">
        <v>10</v>
      </c>
      <c r="I190" s="2">
        <f t="shared" si="11"/>
        <v>943000</v>
      </c>
      <c r="J190" s="2">
        <f t="shared" si="10"/>
        <v>958000</v>
      </c>
    </row>
    <row r="191" spans="1:10">
      <c r="A191" s="7" t="s">
        <v>210</v>
      </c>
      <c r="B191" s="7" t="s">
        <v>167</v>
      </c>
      <c r="C191" t="s">
        <v>175</v>
      </c>
      <c r="D191" s="7" t="str">
        <f t="shared" si="9"/>
        <v>Entry</v>
      </c>
      <c r="E191" s="2">
        <v>589000</v>
      </c>
      <c r="F191" s="2">
        <v>77000</v>
      </c>
      <c r="G191" s="2">
        <v>25000</v>
      </c>
      <c r="H191" t="s">
        <v>10</v>
      </c>
      <c r="I191" s="2">
        <f t="shared" si="11"/>
        <v>666000</v>
      </c>
      <c r="J191" s="2">
        <f t="shared" si="10"/>
        <v>691000</v>
      </c>
    </row>
    <row r="192" spans="1:10">
      <c r="A192" s="7" t="s">
        <v>211</v>
      </c>
      <c r="B192" s="7" t="s">
        <v>167</v>
      </c>
      <c r="C192" t="s">
        <v>183</v>
      </c>
      <c r="D192" s="7" t="str">
        <f t="shared" si="9"/>
        <v>Leadership</v>
      </c>
      <c r="E192" s="2">
        <v>941000</v>
      </c>
      <c r="F192" s="2">
        <v>98000</v>
      </c>
      <c r="G192" s="2">
        <v>22000</v>
      </c>
      <c r="H192" t="s">
        <v>10</v>
      </c>
      <c r="I192" s="2">
        <f t="shared" si="11"/>
        <v>1039000</v>
      </c>
      <c r="J192" s="2">
        <f t="shared" si="10"/>
        <v>1061000</v>
      </c>
    </row>
    <row r="193" spans="1:10">
      <c r="A193" s="7" t="s">
        <v>212</v>
      </c>
      <c r="B193" s="7" t="s">
        <v>167</v>
      </c>
      <c r="C193" t="s">
        <v>168</v>
      </c>
      <c r="D193" s="7" t="str">
        <f t="shared" si="9"/>
        <v>Entry</v>
      </c>
      <c r="E193" s="2">
        <v>720000</v>
      </c>
      <c r="F193" s="2">
        <v>81000</v>
      </c>
      <c r="G193" s="2">
        <v>22000</v>
      </c>
      <c r="H193" t="s">
        <v>10</v>
      </c>
      <c r="I193" s="2">
        <f t="shared" si="11"/>
        <v>801000</v>
      </c>
      <c r="J193" s="2">
        <f t="shared" si="10"/>
        <v>823000</v>
      </c>
    </row>
    <row r="194" spans="1:10">
      <c r="A194" s="7" t="s">
        <v>213</v>
      </c>
      <c r="B194" s="7" t="s">
        <v>167</v>
      </c>
      <c r="C194" t="s">
        <v>168</v>
      </c>
      <c r="D194" s="7" t="str">
        <f t="shared" si="9"/>
        <v>Entry</v>
      </c>
      <c r="E194" s="2">
        <v>651000</v>
      </c>
      <c r="F194" s="2">
        <v>83000</v>
      </c>
      <c r="G194" s="2">
        <v>30000</v>
      </c>
      <c r="H194" t="s">
        <v>10</v>
      </c>
      <c r="I194" s="2">
        <f t="shared" si="11"/>
        <v>734000</v>
      </c>
      <c r="J194" s="2">
        <f t="shared" si="10"/>
        <v>764000</v>
      </c>
    </row>
    <row r="195" spans="1:10">
      <c r="A195" s="7" t="s">
        <v>214</v>
      </c>
      <c r="B195" s="7" t="s">
        <v>167</v>
      </c>
      <c r="C195" t="s">
        <v>175</v>
      </c>
      <c r="D195" s="7" t="str">
        <f t="shared" ref="D195:D258" si="12">IF(OR(ISNUMBER(SEARCH("Manager",C195)),ISNUMBER(SEARCH("Controller",C195))),"Leadership",IF(OR(ISNUMBER(SEARCH("Senior",C195)),ISNUMBER(SEARCH("Regional",C195))),"Senior",IF(OR(ISNUMBER(SEARCH("Engineer",C195)),ISNUMBER(SEARCH("Analyst",C195)),ISNUMBER(SEARCH("Specialist",C195)),ISNUMBER(SEARCH("Business Partner",C195)),ISNUMBER(SEARCH("Account Manager",C195))),"Mid","Entry")))</f>
        <v>Entry</v>
      </c>
      <c r="E195" s="2">
        <v>545000</v>
      </c>
      <c r="F195" s="2">
        <v>76000</v>
      </c>
      <c r="G195" s="2">
        <v>18000</v>
      </c>
      <c r="H195" t="s">
        <v>10</v>
      </c>
      <c r="I195" s="2">
        <f t="shared" si="11"/>
        <v>621000</v>
      </c>
      <c r="J195" s="2">
        <f t="shared" ref="J195:J258" si="13">I195+G195</f>
        <v>639000</v>
      </c>
    </row>
    <row r="196" spans="1:10">
      <c r="A196" s="7" t="s">
        <v>215</v>
      </c>
      <c r="B196" s="7" t="s">
        <v>167</v>
      </c>
      <c r="C196" t="s">
        <v>171</v>
      </c>
      <c r="D196" s="7" t="str">
        <f t="shared" si="12"/>
        <v>Leadership</v>
      </c>
      <c r="E196" s="2">
        <v>1023000</v>
      </c>
      <c r="F196" s="2">
        <v>121000</v>
      </c>
      <c r="G196" s="2">
        <v>30000</v>
      </c>
      <c r="H196" t="s">
        <v>10</v>
      </c>
      <c r="I196" s="2">
        <f t="shared" si="11"/>
        <v>1144000</v>
      </c>
      <c r="J196" s="2">
        <f t="shared" si="13"/>
        <v>1174000</v>
      </c>
    </row>
    <row r="197" spans="1:10">
      <c r="A197" s="7" t="s">
        <v>216</v>
      </c>
      <c r="B197" s="7" t="s">
        <v>167</v>
      </c>
      <c r="C197" t="s">
        <v>183</v>
      </c>
      <c r="D197" s="7" t="str">
        <f t="shared" si="12"/>
        <v>Leadership</v>
      </c>
      <c r="E197" s="2">
        <v>931000</v>
      </c>
      <c r="F197" s="2">
        <v>117000</v>
      </c>
      <c r="G197" s="2">
        <v>35000</v>
      </c>
      <c r="H197" t="s">
        <v>10</v>
      </c>
      <c r="I197" s="2">
        <f t="shared" si="11"/>
        <v>1048000</v>
      </c>
      <c r="J197" s="2">
        <f t="shared" si="13"/>
        <v>1083000</v>
      </c>
    </row>
    <row r="198" spans="1:10">
      <c r="A198" s="7" t="s">
        <v>217</v>
      </c>
      <c r="B198" s="7" t="s">
        <v>167</v>
      </c>
      <c r="C198" t="s">
        <v>171</v>
      </c>
      <c r="D198" s="7" t="str">
        <f t="shared" si="12"/>
        <v>Leadership</v>
      </c>
      <c r="E198" s="2">
        <v>1058000</v>
      </c>
      <c r="F198" s="2">
        <v>135000</v>
      </c>
      <c r="G198" s="2">
        <v>22000</v>
      </c>
      <c r="H198" t="s">
        <v>10</v>
      </c>
      <c r="I198" s="2">
        <f t="shared" si="11"/>
        <v>1193000</v>
      </c>
      <c r="J198" s="2">
        <f t="shared" si="13"/>
        <v>1215000</v>
      </c>
    </row>
    <row r="199" spans="1:10">
      <c r="A199" s="7" t="s">
        <v>218</v>
      </c>
      <c r="B199" s="7" t="s">
        <v>167</v>
      </c>
      <c r="C199" t="s">
        <v>171</v>
      </c>
      <c r="D199" s="7" t="str">
        <f t="shared" si="12"/>
        <v>Leadership</v>
      </c>
      <c r="E199" s="2">
        <v>1197000</v>
      </c>
      <c r="F199" s="2">
        <v>124000</v>
      </c>
      <c r="G199" s="2">
        <v>28000</v>
      </c>
      <c r="H199" t="s">
        <v>10</v>
      </c>
      <c r="I199" s="2">
        <f t="shared" si="11"/>
        <v>1321000</v>
      </c>
      <c r="J199" s="2">
        <f t="shared" si="13"/>
        <v>1349000</v>
      </c>
    </row>
    <row r="200" spans="1:10">
      <c r="A200" s="7" t="s">
        <v>219</v>
      </c>
      <c r="B200" s="7" t="s">
        <v>167</v>
      </c>
      <c r="C200" t="s">
        <v>220</v>
      </c>
      <c r="D200" s="7" t="str">
        <f t="shared" si="12"/>
        <v>Leadership</v>
      </c>
      <c r="E200" s="2">
        <v>1224000</v>
      </c>
      <c r="F200" s="2">
        <v>142000</v>
      </c>
      <c r="G200" s="2">
        <v>22000</v>
      </c>
      <c r="H200" t="s">
        <v>10</v>
      </c>
      <c r="I200" s="2">
        <f t="shared" si="11"/>
        <v>1366000</v>
      </c>
      <c r="J200" s="2">
        <f t="shared" si="13"/>
        <v>1388000</v>
      </c>
    </row>
    <row r="201" spans="1:10">
      <c r="A201" s="7" t="s">
        <v>221</v>
      </c>
      <c r="B201" s="7" t="s">
        <v>167</v>
      </c>
      <c r="C201" t="s">
        <v>171</v>
      </c>
      <c r="D201" s="7" t="str">
        <f t="shared" si="12"/>
        <v>Leadership</v>
      </c>
      <c r="E201" s="2">
        <v>1189000</v>
      </c>
      <c r="F201" s="2">
        <v>123000</v>
      </c>
      <c r="G201" s="2">
        <v>22000</v>
      </c>
      <c r="H201" t="s">
        <v>10</v>
      </c>
      <c r="I201" s="2">
        <f t="shared" si="11"/>
        <v>1312000</v>
      </c>
      <c r="J201" s="2">
        <f t="shared" si="13"/>
        <v>1334000</v>
      </c>
    </row>
    <row r="202" spans="1:10">
      <c r="A202" s="7" t="s">
        <v>222</v>
      </c>
      <c r="B202" s="7" t="s">
        <v>167</v>
      </c>
      <c r="C202" t="s">
        <v>168</v>
      </c>
      <c r="D202" s="7" t="str">
        <f t="shared" si="12"/>
        <v>Entry</v>
      </c>
      <c r="E202" s="2">
        <v>588000</v>
      </c>
      <c r="F202" s="2">
        <v>77000</v>
      </c>
      <c r="G202" s="2">
        <v>22000</v>
      </c>
      <c r="H202" t="s">
        <v>10</v>
      </c>
      <c r="I202" s="2">
        <f t="shared" si="11"/>
        <v>665000</v>
      </c>
      <c r="J202" s="2">
        <f t="shared" si="13"/>
        <v>687000</v>
      </c>
    </row>
    <row r="203" spans="1:10">
      <c r="A203" s="7" t="s">
        <v>223</v>
      </c>
      <c r="B203" s="7" t="s">
        <v>167</v>
      </c>
      <c r="C203" t="s">
        <v>183</v>
      </c>
      <c r="D203" s="7" t="str">
        <f t="shared" si="12"/>
        <v>Leadership</v>
      </c>
      <c r="E203" s="2">
        <v>803000</v>
      </c>
      <c r="F203" s="2">
        <v>107000</v>
      </c>
      <c r="G203" s="2">
        <v>22000</v>
      </c>
      <c r="H203" t="s">
        <v>10</v>
      </c>
      <c r="I203" s="2">
        <f t="shared" si="11"/>
        <v>910000</v>
      </c>
      <c r="J203" s="2">
        <f t="shared" si="13"/>
        <v>932000</v>
      </c>
    </row>
    <row r="204" spans="1:10">
      <c r="A204" s="7" t="s">
        <v>224</v>
      </c>
      <c r="B204" s="7" t="s">
        <v>167</v>
      </c>
      <c r="C204" t="s">
        <v>183</v>
      </c>
      <c r="D204" s="7" t="str">
        <f t="shared" si="12"/>
        <v>Leadership</v>
      </c>
      <c r="E204" s="2">
        <v>809000</v>
      </c>
      <c r="F204" s="2">
        <v>106000</v>
      </c>
      <c r="G204" s="2">
        <v>15000</v>
      </c>
      <c r="H204" t="s">
        <v>10</v>
      </c>
      <c r="I204" s="2">
        <f t="shared" si="11"/>
        <v>915000</v>
      </c>
      <c r="J204" s="2">
        <f t="shared" si="13"/>
        <v>930000</v>
      </c>
    </row>
    <row r="205" spans="1:10">
      <c r="A205" s="7" t="s">
        <v>225</v>
      </c>
      <c r="B205" s="7" t="s">
        <v>167</v>
      </c>
      <c r="C205" t="s">
        <v>220</v>
      </c>
      <c r="D205" s="7" t="str">
        <f t="shared" si="12"/>
        <v>Leadership</v>
      </c>
      <c r="E205" s="2">
        <v>1397000</v>
      </c>
      <c r="F205" s="2">
        <v>170000</v>
      </c>
      <c r="G205" s="2">
        <v>20000</v>
      </c>
      <c r="H205" t="s">
        <v>10</v>
      </c>
      <c r="I205" s="2">
        <f t="shared" si="11"/>
        <v>1567000</v>
      </c>
      <c r="J205" s="2">
        <f t="shared" si="13"/>
        <v>1587000</v>
      </c>
    </row>
    <row r="206" spans="1:10">
      <c r="A206" s="7" t="s">
        <v>226</v>
      </c>
      <c r="B206" s="7" t="s">
        <v>167</v>
      </c>
      <c r="C206" t="s">
        <v>171</v>
      </c>
      <c r="D206" s="7" t="str">
        <f t="shared" si="12"/>
        <v>Leadership</v>
      </c>
      <c r="E206" s="2">
        <v>1022000</v>
      </c>
      <c r="F206" s="2">
        <v>117000</v>
      </c>
      <c r="G206" s="2">
        <v>22000</v>
      </c>
      <c r="H206" t="s">
        <v>10</v>
      </c>
      <c r="I206" s="2">
        <f t="shared" si="11"/>
        <v>1139000</v>
      </c>
      <c r="J206" s="2">
        <f t="shared" si="13"/>
        <v>1161000</v>
      </c>
    </row>
    <row r="207" spans="1:10">
      <c r="A207" s="7" t="s">
        <v>227</v>
      </c>
      <c r="B207" s="7" t="s">
        <v>167</v>
      </c>
      <c r="C207" t="s">
        <v>175</v>
      </c>
      <c r="D207" s="7" t="str">
        <f t="shared" si="12"/>
        <v>Entry</v>
      </c>
      <c r="E207" s="2">
        <v>575000</v>
      </c>
      <c r="F207" s="2">
        <v>60000</v>
      </c>
      <c r="G207" s="2">
        <v>30000</v>
      </c>
      <c r="H207" t="s">
        <v>10</v>
      </c>
      <c r="I207" s="2">
        <f t="shared" si="11"/>
        <v>635000</v>
      </c>
      <c r="J207" s="2">
        <f t="shared" si="13"/>
        <v>665000</v>
      </c>
    </row>
    <row r="208" spans="1:10">
      <c r="A208" s="7" t="s">
        <v>228</v>
      </c>
      <c r="B208" s="7" t="s">
        <v>167</v>
      </c>
      <c r="C208" t="s">
        <v>183</v>
      </c>
      <c r="D208" s="7" t="str">
        <f t="shared" si="12"/>
        <v>Leadership</v>
      </c>
      <c r="E208" s="2">
        <v>854000</v>
      </c>
      <c r="F208" s="2">
        <v>112000</v>
      </c>
      <c r="G208" s="2">
        <v>18000</v>
      </c>
      <c r="H208" t="s">
        <v>10</v>
      </c>
      <c r="I208" s="2">
        <f t="shared" ref="I208:I271" si="14">E208+F208</f>
        <v>966000</v>
      </c>
      <c r="J208" s="2">
        <f t="shared" si="13"/>
        <v>984000</v>
      </c>
    </row>
    <row r="209" spans="1:10">
      <c r="A209" s="7" t="s">
        <v>229</v>
      </c>
      <c r="B209" s="7" t="s">
        <v>167</v>
      </c>
      <c r="C209" t="s">
        <v>175</v>
      </c>
      <c r="D209" s="7" t="str">
        <f t="shared" si="12"/>
        <v>Entry</v>
      </c>
      <c r="E209" s="2">
        <v>621000</v>
      </c>
      <c r="F209" s="2">
        <v>80000</v>
      </c>
      <c r="G209" s="2">
        <v>25000</v>
      </c>
      <c r="H209" t="s">
        <v>10</v>
      </c>
      <c r="I209" s="2">
        <f t="shared" si="14"/>
        <v>701000</v>
      </c>
      <c r="J209" s="2">
        <f t="shared" si="13"/>
        <v>726000</v>
      </c>
    </row>
    <row r="210" spans="1:10">
      <c r="A210" s="7" t="s">
        <v>230</v>
      </c>
      <c r="B210" s="7" t="s">
        <v>167</v>
      </c>
      <c r="C210" t="s">
        <v>220</v>
      </c>
      <c r="D210" s="7" t="str">
        <f t="shared" si="12"/>
        <v>Leadership</v>
      </c>
      <c r="E210" s="2">
        <v>1142000</v>
      </c>
      <c r="F210" s="2">
        <v>136000</v>
      </c>
      <c r="G210" s="2">
        <v>30000</v>
      </c>
      <c r="H210" t="s">
        <v>10</v>
      </c>
      <c r="I210" s="2">
        <f t="shared" si="14"/>
        <v>1278000</v>
      </c>
      <c r="J210" s="2">
        <f t="shared" si="13"/>
        <v>1308000</v>
      </c>
    </row>
    <row r="211" spans="1:10">
      <c r="A211" s="7" t="s">
        <v>231</v>
      </c>
      <c r="B211" s="7" t="s">
        <v>167</v>
      </c>
      <c r="C211" t="s">
        <v>175</v>
      </c>
      <c r="D211" s="7" t="str">
        <f t="shared" si="12"/>
        <v>Entry</v>
      </c>
      <c r="E211" s="2">
        <v>634000</v>
      </c>
      <c r="F211" s="2">
        <v>75000</v>
      </c>
      <c r="G211" s="2">
        <v>18000</v>
      </c>
      <c r="H211" t="s">
        <v>10</v>
      </c>
      <c r="I211" s="2">
        <f t="shared" si="14"/>
        <v>709000</v>
      </c>
      <c r="J211" s="2">
        <f t="shared" si="13"/>
        <v>727000</v>
      </c>
    </row>
    <row r="212" spans="1:10">
      <c r="A212" s="7" t="s">
        <v>232</v>
      </c>
      <c r="B212" s="7" t="s">
        <v>167</v>
      </c>
      <c r="C212" t="s">
        <v>175</v>
      </c>
      <c r="D212" s="7" t="str">
        <f t="shared" si="12"/>
        <v>Entry</v>
      </c>
      <c r="E212" s="2">
        <v>557000</v>
      </c>
      <c r="F212" s="2">
        <v>70000</v>
      </c>
      <c r="G212" s="2">
        <v>28000</v>
      </c>
      <c r="H212" t="s">
        <v>10</v>
      </c>
      <c r="I212" s="2">
        <f t="shared" si="14"/>
        <v>627000</v>
      </c>
      <c r="J212" s="2">
        <f t="shared" si="13"/>
        <v>655000</v>
      </c>
    </row>
    <row r="213" spans="1:10">
      <c r="A213" s="7" t="s">
        <v>233</v>
      </c>
      <c r="B213" s="7" t="s">
        <v>167</v>
      </c>
      <c r="C213" t="s">
        <v>168</v>
      </c>
      <c r="D213" s="7" t="str">
        <f t="shared" si="12"/>
        <v>Entry</v>
      </c>
      <c r="E213" s="2">
        <v>627000</v>
      </c>
      <c r="F213" s="2">
        <v>75000</v>
      </c>
      <c r="G213" s="2">
        <v>30000</v>
      </c>
      <c r="H213" t="s">
        <v>10</v>
      </c>
      <c r="I213" s="2">
        <f t="shared" si="14"/>
        <v>702000</v>
      </c>
      <c r="J213" s="2">
        <f t="shared" si="13"/>
        <v>732000</v>
      </c>
    </row>
    <row r="214" spans="1:10">
      <c r="A214" s="7" t="s">
        <v>234</v>
      </c>
      <c r="B214" s="7" t="s">
        <v>167</v>
      </c>
      <c r="C214" t="s">
        <v>183</v>
      </c>
      <c r="D214" s="7" t="str">
        <f t="shared" si="12"/>
        <v>Leadership</v>
      </c>
      <c r="E214" s="2">
        <v>924000</v>
      </c>
      <c r="F214" s="2">
        <v>116000</v>
      </c>
      <c r="G214" s="2">
        <v>22000</v>
      </c>
      <c r="H214" t="s">
        <v>10</v>
      </c>
      <c r="I214" s="2">
        <f t="shared" si="14"/>
        <v>1040000</v>
      </c>
      <c r="J214" s="2">
        <f t="shared" si="13"/>
        <v>1062000</v>
      </c>
    </row>
    <row r="215" spans="1:10">
      <c r="A215" s="7" t="s">
        <v>235</v>
      </c>
      <c r="B215" s="7" t="s">
        <v>167</v>
      </c>
      <c r="C215" t="s">
        <v>171</v>
      </c>
      <c r="D215" s="7" t="str">
        <f t="shared" si="12"/>
        <v>Leadership</v>
      </c>
      <c r="E215" s="2">
        <v>1090000</v>
      </c>
      <c r="F215" s="2">
        <v>145000</v>
      </c>
      <c r="G215" s="2">
        <v>30000</v>
      </c>
      <c r="H215" t="s">
        <v>10</v>
      </c>
      <c r="I215" s="2">
        <f t="shared" si="14"/>
        <v>1235000</v>
      </c>
      <c r="J215" s="2">
        <f t="shared" si="13"/>
        <v>1265000</v>
      </c>
    </row>
    <row r="216" spans="1:10">
      <c r="A216" s="7" t="s">
        <v>236</v>
      </c>
      <c r="B216" s="7" t="s">
        <v>167</v>
      </c>
      <c r="C216" t="s">
        <v>175</v>
      </c>
      <c r="D216" s="7" t="str">
        <f t="shared" si="12"/>
        <v>Entry</v>
      </c>
      <c r="E216" s="2">
        <v>596000</v>
      </c>
      <c r="F216" s="2">
        <v>75000</v>
      </c>
      <c r="G216" s="2">
        <v>28000</v>
      </c>
      <c r="H216" t="s">
        <v>10</v>
      </c>
      <c r="I216" s="2">
        <f t="shared" si="14"/>
        <v>671000</v>
      </c>
      <c r="J216" s="2">
        <f t="shared" si="13"/>
        <v>699000</v>
      </c>
    </row>
    <row r="217" spans="1:10">
      <c r="A217" s="7" t="s">
        <v>237</v>
      </c>
      <c r="B217" s="7" t="s">
        <v>167</v>
      </c>
      <c r="C217" t="s">
        <v>183</v>
      </c>
      <c r="D217" s="7" t="str">
        <f t="shared" si="12"/>
        <v>Leadership</v>
      </c>
      <c r="E217" s="2">
        <v>854000</v>
      </c>
      <c r="F217" s="2">
        <v>89000</v>
      </c>
      <c r="G217" s="2">
        <v>18000</v>
      </c>
      <c r="H217" t="s">
        <v>10</v>
      </c>
      <c r="I217" s="2">
        <f t="shared" si="14"/>
        <v>943000</v>
      </c>
      <c r="J217" s="2">
        <f t="shared" si="13"/>
        <v>961000</v>
      </c>
    </row>
    <row r="218" spans="1:10">
      <c r="A218" s="7" t="s">
        <v>238</v>
      </c>
      <c r="B218" s="7" t="s">
        <v>167</v>
      </c>
      <c r="C218" t="s">
        <v>175</v>
      </c>
      <c r="D218" s="7" t="str">
        <f t="shared" si="12"/>
        <v>Entry</v>
      </c>
      <c r="E218" s="2">
        <v>638000</v>
      </c>
      <c r="F218" s="2">
        <v>85000</v>
      </c>
      <c r="G218" s="2">
        <v>15000</v>
      </c>
      <c r="H218" t="s">
        <v>10</v>
      </c>
      <c r="I218" s="2">
        <f t="shared" si="14"/>
        <v>723000</v>
      </c>
      <c r="J218" s="2">
        <f t="shared" si="13"/>
        <v>738000</v>
      </c>
    </row>
    <row r="219" spans="1:10">
      <c r="A219" s="7" t="s">
        <v>239</v>
      </c>
      <c r="B219" s="7" t="s">
        <v>167</v>
      </c>
      <c r="C219" t="s">
        <v>168</v>
      </c>
      <c r="D219" s="7" t="str">
        <f t="shared" si="12"/>
        <v>Entry</v>
      </c>
      <c r="E219" s="2">
        <v>632000</v>
      </c>
      <c r="F219" s="2">
        <v>66000</v>
      </c>
      <c r="G219" s="2">
        <v>28000</v>
      </c>
      <c r="H219" t="s">
        <v>10</v>
      </c>
      <c r="I219" s="2">
        <f t="shared" si="14"/>
        <v>698000</v>
      </c>
      <c r="J219" s="2">
        <f t="shared" si="13"/>
        <v>726000</v>
      </c>
    </row>
    <row r="220" spans="1:10">
      <c r="A220" s="7" t="s">
        <v>240</v>
      </c>
      <c r="B220" s="7" t="s">
        <v>167</v>
      </c>
      <c r="C220" t="s">
        <v>171</v>
      </c>
      <c r="D220" s="7" t="str">
        <f t="shared" si="12"/>
        <v>Leadership</v>
      </c>
      <c r="E220" s="2">
        <v>1092000</v>
      </c>
      <c r="F220" s="2">
        <v>149000</v>
      </c>
      <c r="G220" s="2">
        <v>15000</v>
      </c>
      <c r="H220" t="s">
        <v>10</v>
      </c>
      <c r="I220" s="2">
        <f t="shared" si="14"/>
        <v>1241000</v>
      </c>
      <c r="J220" s="2">
        <f t="shared" si="13"/>
        <v>1256000</v>
      </c>
    </row>
    <row r="221" spans="1:10">
      <c r="A221" s="7" t="s">
        <v>241</v>
      </c>
      <c r="B221" s="7" t="s">
        <v>167</v>
      </c>
      <c r="C221" t="s">
        <v>168</v>
      </c>
      <c r="D221" s="7" t="str">
        <f t="shared" si="12"/>
        <v>Entry</v>
      </c>
      <c r="E221" s="2">
        <v>635000</v>
      </c>
      <c r="F221" s="2">
        <v>78000</v>
      </c>
      <c r="G221" s="2">
        <v>22000</v>
      </c>
      <c r="H221" t="s">
        <v>10</v>
      </c>
      <c r="I221" s="2">
        <f t="shared" si="14"/>
        <v>713000</v>
      </c>
      <c r="J221" s="2">
        <f t="shared" si="13"/>
        <v>735000</v>
      </c>
    </row>
    <row r="222" spans="1:10">
      <c r="A222" s="7" t="s">
        <v>242</v>
      </c>
      <c r="B222" s="7" t="s">
        <v>167</v>
      </c>
      <c r="C222" t="s">
        <v>168</v>
      </c>
      <c r="D222" s="7" t="str">
        <f t="shared" si="12"/>
        <v>Entry</v>
      </c>
      <c r="E222" s="2">
        <v>706000</v>
      </c>
      <c r="F222" s="2">
        <v>80000</v>
      </c>
      <c r="G222" s="2">
        <v>28000</v>
      </c>
      <c r="H222" t="s">
        <v>10</v>
      </c>
      <c r="I222" s="2">
        <f t="shared" si="14"/>
        <v>786000</v>
      </c>
      <c r="J222" s="2">
        <f t="shared" si="13"/>
        <v>814000</v>
      </c>
    </row>
    <row r="223" spans="1:10">
      <c r="A223" s="7" t="s">
        <v>243</v>
      </c>
      <c r="B223" s="7" t="s">
        <v>167</v>
      </c>
      <c r="C223" t="s">
        <v>175</v>
      </c>
      <c r="D223" s="7" t="str">
        <f t="shared" si="12"/>
        <v>Entry</v>
      </c>
      <c r="E223" s="2">
        <v>570000</v>
      </c>
      <c r="F223" s="2">
        <v>67000</v>
      </c>
      <c r="G223" s="2">
        <v>15000</v>
      </c>
      <c r="H223" t="s">
        <v>10</v>
      </c>
      <c r="I223" s="2">
        <f t="shared" si="14"/>
        <v>637000</v>
      </c>
      <c r="J223" s="2">
        <f t="shared" si="13"/>
        <v>652000</v>
      </c>
    </row>
    <row r="224" spans="1:10">
      <c r="A224" s="7" t="s">
        <v>244</v>
      </c>
      <c r="B224" s="7" t="s">
        <v>167</v>
      </c>
      <c r="C224" t="s">
        <v>183</v>
      </c>
      <c r="D224" s="7" t="str">
        <f t="shared" si="12"/>
        <v>Leadership</v>
      </c>
      <c r="E224" s="2">
        <v>895000</v>
      </c>
      <c r="F224" s="2">
        <v>91000</v>
      </c>
      <c r="G224" s="2">
        <v>25000</v>
      </c>
      <c r="H224" t="s">
        <v>10</v>
      </c>
      <c r="I224" s="2">
        <f t="shared" si="14"/>
        <v>986000</v>
      </c>
      <c r="J224" s="2">
        <f t="shared" si="13"/>
        <v>1011000</v>
      </c>
    </row>
    <row r="225" spans="1:10">
      <c r="A225" s="7" t="s">
        <v>245</v>
      </c>
      <c r="B225" s="7" t="s">
        <v>167</v>
      </c>
      <c r="C225" t="s">
        <v>175</v>
      </c>
      <c r="D225" s="7" t="str">
        <f t="shared" si="12"/>
        <v>Entry</v>
      </c>
      <c r="E225" s="2">
        <v>585000</v>
      </c>
      <c r="F225" s="2">
        <v>59000</v>
      </c>
      <c r="G225" s="2">
        <v>20000</v>
      </c>
      <c r="H225" t="s">
        <v>10</v>
      </c>
      <c r="I225" s="2">
        <f t="shared" si="14"/>
        <v>644000</v>
      </c>
      <c r="J225" s="2">
        <f t="shared" si="13"/>
        <v>664000</v>
      </c>
    </row>
    <row r="226" spans="1:10">
      <c r="A226" s="7" t="s">
        <v>246</v>
      </c>
      <c r="B226" s="7" t="s">
        <v>167</v>
      </c>
      <c r="C226" t="s">
        <v>175</v>
      </c>
      <c r="D226" s="7" t="str">
        <f t="shared" si="12"/>
        <v>Entry</v>
      </c>
      <c r="E226" s="2">
        <v>559000</v>
      </c>
      <c r="F226" s="2">
        <v>70000</v>
      </c>
      <c r="G226" s="2">
        <v>15000</v>
      </c>
      <c r="H226" t="s">
        <v>10</v>
      </c>
      <c r="I226" s="2">
        <f t="shared" si="14"/>
        <v>629000</v>
      </c>
      <c r="J226" s="2">
        <f t="shared" si="13"/>
        <v>644000</v>
      </c>
    </row>
    <row r="227" spans="1:10">
      <c r="A227" s="7" t="s">
        <v>247</v>
      </c>
      <c r="B227" s="7" t="s">
        <v>167</v>
      </c>
      <c r="C227" t="s">
        <v>168</v>
      </c>
      <c r="D227" s="7" t="str">
        <f t="shared" si="12"/>
        <v>Entry</v>
      </c>
      <c r="E227" s="2">
        <v>639000</v>
      </c>
      <c r="F227" s="2">
        <v>75000</v>
      </c>
      <c r="G227" s="2">
        <v>20000</v>
      </c>
      <c r="H227" t="s">
        <v>10</v>
      </c>
      <c r="I227" s="2">
        <f t="shared" si="14"/>
        <v>714000</v>
      </c>
      <c r="J227" s="2">
        <f t="shared" si="13"/>
        <v>734000</v>
      </c>
    </row>
    <row r="228" spans="1:10">
      <c r="A228" s="7" t="s">
        <v>248</v>
      </c>
      <c r="B228" s="7" t="s">
        <v>167</v>
      </c>
      <c r="C228" t="s">
        <v>183</v>
      </c>
      <c r="D228" s="7" t="str">
        <f t="shared" si="12"/>
        <v>Leadership</v>
      </c>
      <c r="E228" s="2">
        <v>910000</v>
      </c>
      <c r="F228" s="2">
        <v>112000</v>
      </c>
      <c r="G228" s="2">
        <v>18000</v>
      </c>
      <c r="H228" t="s">
        <v>10</v>
      </c>
      <c r="I228" s="2">
        <f t="shared" si="14"/>
        <v>1022000</v>
      </c>
      <c r="J228" s="2">
        <f t="shared" si="13"/>
        <v>1040000</v>
      </c>
    </row>
    <row r="229" spans="1:10">
      <c r="A229" s="7" t="s">
        <v>249</v>
      </c>
      <c r="B229" s="7" t="s">
        <v>167</v>
      </c>
      <c r="C229" t="s">
        <v>175</v>
      </c>
      <c r="D229" s="7" t="str">
        <f t="shared" si="12"/>
        <v>Entry</v>
      </c>
      <c r="E229" s="2">
        <v>640000</v>
      </c>
      <c r="F229" s="2">
        <v>65000</v>
      </c>
      <c r="G229" s="2">
        <v>18000</v>
      </c>
      <c r="H229" t="s">
        <v>10</v>
      </c>
      <c r="I229" s="2">
        <f t="shared" si="14"/>
        <v>705000</v>
      </c>
      <c r="J229" s="2">
        <f t="shared" si="13"/>
        <v>723000</v>
      </c>
    </row>
    <row r="230" spans="1:10">
      <c r="A230" s="7" t="s">
        <v>250</v>
      </c>
      <c r="B230" s="7" t="s">
        <v>167</v>
      </c>
      <c r="C230" t="s">
        <v>183</v>
      </c>
      <c r="D230" s="7" t="str">
        <f t="shared" si="12"/>
        <v>Leadership</v>
      </c>
      <c r="E230" s="2">
        <v>856000</v>
      </c>
      <c r="F230" s="2">
        <v>101000</v>
      </c>
      <c r="G230" s="2">
        <v>25000</v>
      </c>
      <c r="H230" t="s">
        <v>10</v>
      </c>
      <c r="I230" s="2">
        <f t="shared" si="14"/>
        <v>957000</v>
      </c>
      <c r="J230" s="2">
        <f t="shared" si="13"/>
        <v>982000</v>
      </c>
    </row>
    <row r="231" spans="1:10">
      <c r="A231" s="7" t="s">
        <v>251</v>
      </c>
      <c r="B231" s="7" t="s">
        <v>167</v>
      </c>
      <c r="C231" t="s">
        <v>168</v>
      </c>
      <c r="D231" s="7" t="str">
        <f t="shared" si="12"/>
        <v>Entry</v>
      </c>
      <c r="E231" s="2">
        <v>634000</v>
      </c>
      <c r="F231" s="2">
        <v>66000</v>
      </c>
      <c r="G231" s="2">
        <v>35000</v>
      </c>
      <c r="H231" t="s">
        <v>10</v>
      </c>
      <c r="I231" s="2">
        <f t="shared" si="14"/>
        <v>700000</v>
      </c>
      <c r="J231" s="2">
        <f t="shared" si="13"/>
        <v>735000</v>
      </c>
    </row>
    <row r="232" spans="1:10">
      <c r="A232" s="7" t="s">
        <v>252</v>
      </c>
      <c r="B232" s="7" t="s">
        <v>167</v>
      </c>
      <c r="C232" t="s">
        <v>175</v>
      </c>
      <c r="D232" s="7" t="str">
        <f t="shared" si="12"/>
        <v>Entry</v>
      </c>
      <c r="E232" s="2">
        <v>569000</v>
      </c>
      <c r="F232" s="2">
        <v>79000</v>
      </c>
      <c r="G232" s="2">
        <v>15000</v>
      </c>
      <c r="H232" t="s">
        <v>13</v>
      </c>
      <c r="I232" s="2">
        <f t="shared" si="14"/>
        <v>648000</v>
      </c>
      <c r="J232" s="2">
        <f t="shared" si="13"/>
        <v>663000</v>
      </c>
    </row>
    <row r="233" spans="1:10">
      <c r="A233" s="7" t="s">
        <v>253</v>
      </c>
      <c r="B233" s="7" t="s">
        <v>167</v>
      </c>
      <c r="C233" t="s">
        <v>175</v>
      </c>
      <c r="D233" s="7" t="str">
        <f t="shared" si="12"/>
        <v>Entry</v>
      </c>
      <c r="E233" s="2">
        <v>568000</v>
      </c>
      <c r="F233" s="2">
        <v>60000</v>
      </c>
      <c r="G233" s="2">
        <v>25000</v>
      </c>
      <c r="H233" t="s">
        <v>10</v>
      </c>
      <c r="I233" s="2">
        <f t="shared" si="14"/>
        <v>628000</v>
      </c>
      <c r="J233" s="2">
        <f t="shared" si="13"/>
        <v>653000</v>
      </c>
    </row>
    <row r="234" spans="1:10">
      <c r="A234" s="7" t="s">
        <v>254</v>
      </c>
      <c r="B234" s="7" t="s">
        <v>167</v>
      </c>
      <c r="C234" t="s">
        <v>175</v>
      </c>
      <c r="D234" s="7" t="str">
        <f t="shared" si="12"/>
        <v>Entry</v>
      </c>
      <c r="E234" s="2">
        <v>606000</v>
      </c>
      <c r="F234" s="2">
        <v>71000</v>
      </c>
      <c r="G234" s="2">
        <v>20000</v>
      </c>
      <c r="H234" t="s">
        <v>10</v>
      </c>
      <c r="I234" s="2">
        <f t="shared" si="14"/>
        <v>677000</v>
      </c>
      <c r="J234" s="2">
        <f t="shared" si="13"/>
        <v>697000</v>
      </c>
    </row>
    <row r="235" spans="1:10">
      <c r="A235" s="7" t="s">
        <v>255</v>
      </c>
      <c r="B235" s="7" t="s">
        <v>167</v>
      </c>
      <c r="C235" t="s">
        <v>183</v>
      </c>
      <c r="D235" s="7" t="str">
        <f t="shared" si="12"/>
        <v>Leadership</v>
      </c>
      <c r="E235" s="2">
        <v>859000</v>
      </c>
      <c r="F235" s="2">
        <v>115000</v>
      </c>
      <c r="G235" s="2">
        <v>28000</v>
      </c>
      <c r="H235" t="s">
        <v>13</v>
      </c>
      <c r="I235" s="2">
        <f t="shared" si="14"/>
        <v>974000</v>
      </c>
      <c r="J235" s="2">
        <f t="shared" si="13"/>
        <v>1002000</v>
      </c>
    </row>
    <row r="236" spans="1:10">
      <c r="A236" s="7" t="s">
        <v>256</v>
      </c>
      <c r="B236" s="7" t="s">
        <v>167</v>
      </c>
      <c r="C236" t="s">
        <v>171</v>
      </c>
      <c r="D236" s="7" t="str">
        <f t="shared" si="12"/>
        <v>Leadership</v>
      </c>
      <c r="E236" s="2">
        <v>1000000</v>
      </c>
      <c r="F236" s="2">
        <v>101000</v>
      </c>
      <c r="G236" s="2">
        <v>18000</v>
      </c>
      <c r="H236" t="s">
        <v>10</v>
      </c>
      <c r="I236" s="2">
        <f t="shared" si="14"/>
        <v>1101000</v>
      </c>
      <c r="J236" s="2">
        <f t="shared" si="13"/>
        <v>1119000</v>
      </c>
    </row>
    <row r="237" spans="1:10">
      <c r="A237" s="7" t="s">
        <v>257</v>
      </c>
      <c r="B237" s="7" t="s">
        <v>167</v>
      </c>
      <c r="C237" t="s">
        <v>168</v>
      </c>
      <c r="D237" s="7" t="str">
        <f t="shared" si="12"/>
        <v>Entry</v>
      </c>
      <c r="E237" s="2">
        <v>667000</v>
      </c>
      <c r="F237" s="2">
        <v>86000</v>
      </c>
      <c r="G237" s="2">
        <v>30000</v>
      </c>
      <c r="H237" t="s">
        <v>10</v>
      </c>
      <c r="I237" s="2">
        <f t="shared" si="14"/>
        <v>753000</v>
      </c>
      <c r="J237" s="2">
        <f t="shared" si="13"/>
        <v>783000</v>
      </c>
    </row>
    <row r="238" spans="1:10">
      <c r="A238" s="7" t="s">
        <v>258</v>
      </c>
      <c r="B238" s="7" t="s">
        <v>167</v>
      </c>
      <c r="C238" t="s">
        <v>175</v>
      </c>
      <c r="D238" s="7" t="str">
        <f t="shared" si="12"/>
        <v>Entry</v>
      </c>
      <c r="E238" s="2">
        <v>668000</v>
      </c>
      <c r="F238" s="2">
        <v>71000</v>
      </c>
      <c r="G238" s="2">
        <v>35000</v>
      </c>
      <c r="H238" t="s">
        <v>10</v>
      </c>
      <c r="I238" s="2">
        <f t="shared" si="14"/>
        <v>739000</v>
      </c>
      <c r="J238" s="2">
        <f t="shared" si="13"/>
        <v>774000</v>
      </c>
    </row>
    <row r="239" spans="1:10">
      <c r="A239" s="7" t="s">
        <v>259</v>
      </c>
      <c r="B239" s="7" t="s">
        <v>167</v>
      </c>
      <c r="C239" t="s">
        <v>171</v>
      </c>
      <c r="D239" s="7" t="str">
        <f t="shared" si="12"/>
        <v>Leadership</v>
      </c>
      <c r="E239" s="2">
        <v>1011000</v>
      </c>
      <c r="F239" s="2">
        <v>135000</v>
      </c>
      <c r="G239" s="2">
        <v>22000</v>
      </c>
      <c r="H239" t="s">
        <v>10</v>
      </c>
      <c r="I239" s="2">
        <f t="shared" si="14"/>
        <v>1146000</v>
      </c>
      <c r="J239" s="2">
        <f t="shared" si="13"/>
        <v>1168000</v>
      </c>
    </row>
    <row r="240" spans="1:10">
      <c r="A240" s="7" t="s">
        <v>260</v>
      </c>
      <c r="B240" s="7" t="s">
        <v>167</v>
      </c>
      <c r="C240" t="s">
        <v>175</v>
      </c>
      <c r="D240" s="7" t="str">
        <f t="shared" si="12"/>
        <v>Entry</v>
      </c>
      <c r="E240" s="2">
        <v>550000</v>
      </c>
      <c r="F240" s="2">
        <v>74000</v>
      </c>
      <c r="G240" s="2">
        <v>28000</v>
      </c>
      <c r="H240" t="s">
        <v>10</v>
      </c>
      <c r="I240" s="2">
        <f t="shared" si="14"/>
        <v>624000</v>
      </c>
      <c r="J240" s="2">
        <f t="shared" si="13"/>
        <v>652000</v>
      </c>
    </row>
    <row r="241" spans="1:10">
      <c r="A241" s="7" t="s">
        <v>261</v>
      </c>
      <c r="B241" s="7" t="s">
        <v>167</v>
      </c>
      <c r="C241" t="s">
        <v>183</v>
      </c>
      <c r="D241" s="7" t="str">
        <f t="shared" si="12"/>
        <v>Leadership</v>
      </c>
      <c r="E241" s="2">
        <v>779000</v>
      </c>
      <c r="F241" s="2">
        <v>98000</v>
      </c>
      <c r="G241" s="2">
        <v>22000</v>
      </c>
      <c r="H241" t="s">
        <v>10</v>
      </c>
      <c r="I241" s="2">
        <f t="shared" si="14"/>
        <v>877000</v>
      </c>
      <c r="J241" s="2">
        <f t="shared" si="13"/>
        <v>899000</v>
      </c>
    </row>
    <row r="242" spans="1:10">
      <c r="A242" s="7" t="s">
        <v>262</v>
      </c>
      <c r="B242" s="7" t="s">
        <v>167</v>
      </c>
      <c r="C242" t="s">
        <v>175</v>
      </c>
      <c r="D242" s="7" t="str">
        <f t="shared" si="12"/>
        <v>Entry</v>
      </c>
      <c r="E242" s="2">
        <v>636000</v>
      </c>
      <c r="F242" s="2">
        <v>84000</v>
      </c>
      <c r="G242" s="2">
        <v>20000</v>
      </c>
      <c r="H242" t="s">
        <v>10</v>
      </c>
      <c r="I242" s="2">
        <f t="shared" si="14"/>
        <v>720000</v>
      </c>
      <c r="J242" s="2">
        <f t="shared" si="13"/>
        <v>740000</v>
      </c>
    </row>
    <row r="243" spans="1:10">
      <c r="A243" s="7" t="s">
        <v>263</v>
      </c>
      <c r="B243" s="7" t="s">
        <v>167</v>
      </c>
      <c r="C243" t="s">
        <v>175</v>
      </c>
      <c r="D243" s="7" t="str">
        <f t="shared" si="12"/>
        <v>Entry</v>
      </c>
      <c r="E243" s="2">
        <v>566000</v>
      </c>
      <c r="F243" s="2">
        <v>70000</v>
      </c>
      <c r="G243" s="2">
        <v>18000</v>
      </c>
      <c r="H243" t="s">
        <v>10</v>
      </c>
      <c r="I243" s="2">
        <f t="shared" si="14"/>
        <v>636000</v>
      </c>
      <c r="J243" s="2">
        <f t="shared" si="13"/>
        <v>654000</v>
      </c>
    </row>
    <row r="244" spans="1:10">
      <c r="A244" s="7" t="s">
        <v>264</v>
      </c>
      <c r="B244" s="7" t="s">
        <v>167</v>
      </c>
      <c r="C244" t="s">
        <v>183</v>
      </c>
      <c r="D244" s="7" t="str">
        <f t="shared" si="12"/>
        <v>Leadership</v>
      </c>
      <c r="E244" s="2">
        <v>857000</v>
      </c>
      <c r="F244" s="2">
        <v>112000</v>
      </c>
      <c r="G244" s="2">
        <v>35000</v>
      </c>
      <c r="H244" t="s">
        <v>10</v>
      </c>
      <c r="I244" s="2">
        <f t="shared" si="14"/>
        <v>969000</v>
      </c>
      <c r="J244" s="2">
        <f t="shared" si="13"/>
        <v>1004000</v>
      </c>
    </row>
    <row r="245" spans="1:10">
      <c r="A245" s="7" t="s">
        <v>265</v>
      </c>
      <c r="B245" s="7" t="s">
        <v>167</v>
      </c>
      <c r="C245" t="s">
        <v>171</v>
      </c>
      <c r="D245" s="7" t="str">
        <f t="shared" si="12"/>
        <v>Leadership</v>
      </c>
      <c r="E245" s="2">
        <v>1146000</v>
      </c>
      <c r="F245" s="2">
        <v>160000</v>
      </c>
      <c r="G245" s="2">
        <v>28000</v>
      </c>
      <c r="H245" t="s">
        <v>10</v>
      </c>
      <c r="I245" s="2">
        <f t="shared" si="14"/>
        <v>1306000</v>
      </c>
      <c r="J245" s="2">
        <f t="shared" si="13"/>
        <v>1334000</v>
      </c>
    </row>
    <row r="246" spans="1:10">
      <c r="A246" s="7" t="s">
        <v>266</v>
      </c>
      <c r="B246" s="7" t="s">
        <v>167</v>
      </c>
      <c r="C246" t="s">
        <v>168</v>
      </c>
      <c r="D246" s="7" t="str">
        <f t="shared" si="12"/>
        <v>Entry</v>
      </c>
      <c r="E246" s="2">
        <v>607000</v>
      </c>
      <c r="F246" s="2">
        <v>62000</v>
      </c>
      <c r="G246" s="2">
        <v>35000</v>
      </c>
      <c r="H246" t="s">
        <v>10</v>
      </c>
      <c r="I246" s="2">
        <f t="shared" si="14"/>
        <v>669000</v>
      </c>
      <c r="J246" s="2">
        <f t="shared" si="13"/>
        <v>704000</v>
      </c>
    </row>
    <row r="247" spans="1:10">
      <c r="A247" s="7" t="s">
        <v>267</v>
      </c>
      <c r="B247" s="7" t="s">
        <v>167</v>
      </c>
      <c r="C247" t="s">
        <v>183</v>
      </c>
      <c r="D247" s="7" t="str">
        <f t="shared" si="12"/>
        <v>Leadership</v>
      </c>
      <c r="E247" s="2">
        <v>876000</v>
      </c>
      <c r="F247" s="2">
        <v>100000</v>
      </c>
      <c r="G247" s="2">
        <v>18000</v>
      </c>
      <c r="H247" t="s">
        <v>10</v>
      </c>
      <c r="I247" s="2">
        <f t="shared" si="14"/>
        <v>976000</v>
      </c>
      <c r="J247" s="2">
        <f t="shared" si="13"/>
        <v>994000</v>
      </c>
    </row>
    <row r="248" spans="1:10">
      <c r="A248" s="7" t="s">
        <v>268</v>
      </c>
      <c r="B248" s="7" t="s">
        <v>167</v>
      </c>
      <c r="C248" t="s">
        <v>168</v>
      </c>
      <c r="D248" s="7" t="str">
        <f t="shared" si="12"/>
        <v>Entry</v>
      </c>
      <c r="E248" s="2">
        <v>593000</v>
      </c>
      <c r="F248" s="2">
        <v>79000</v>
      </c>
      <c r="G248" s="2">
        <v>18000</v>
      </c>
      <c r="H248" t="s">
        <v>10</v>
      </c>
      <c r="I248" s="2">
        <f t="shared" si="14"/>
        <v>672000</v>
      </c>
      <c r="J248" s="2">
        <f t="shared" si="13"/>
        <v>690000</v>
      </c>
    </row>
    <row r="249" spans="1:10">
      <c r="A249" s="7" t="s">
        <v>269</v>
      </c>
      <c r="B249" s="7" t="s">
        <v>167</v>
      </c>
      <c r="C249" t="s">
        <v>220</v>
      </c>
      <c r="D249" s="7" t="str">
        <f t="shared" si="12"/>
        <v>Leadership</v>
      </c>
      <c r="E249" s="2">
        <v>1150000</v>
      </c>
      <c r="F249" s="2">
        <v>142000</v>
      </c>
      <c r="G249" s="2">
        <v>30000</v>
      </c>
      <c r="H249" t="s">
        <v>10</v>
      </c>
      <c r="I249" s="2">
        <f t="shared" si="14"/>
        <v>1292000</v>
      </c>
      <c r="J249" s="2">
        <f t="shared" si="13"/>
        <v>1322000</v>
      </c>
    </row>
    <row r="250" spans="1:10">
      <c r="A250" s="7" t="s">
        <v>270</v>
      </c>
      <c r="B250" s="7" t="s">
        <v>167</v>
      </c>
      <c r="C250" t="s">
        <v>168</v>
      </c>
      <c r="D250" s="7" t="str">
        <f t="shared" si="12"/>
        <v>Entry</v>
      </c>
      <c r="E250" s="2">
        <v>698000</v>
      </c>
      <c r="F250" s="2">
        <v>95000</v>
      </c>
      <c r="G250" s="2">
        <v>35000</v>
      </c>
      <c r="H250" t="s">
        <v>10</v>
      </c>
      <c r="I250" s="2">
        <f t="shared" si="14"/>
        <v>793000</v>
      </c>
      <c r="J250" s="2">
        <f t="shared" si="13"/>
        <v>828000</v>
      </c>
    </row>
    <row r="251" spans="1:10">
      <c r="A251" s="7" t="s">
        <v>271</v>
      </c>
      <c r="B251" s="7" t="s">
        <v>167</v>
      </c>
      <c r="C251" t="s">
        <v>168</v>
      </c>
      <c r="D251" s="7" t="str">
        <f t="shared" si="12"/>
        <v>Entry</v>
      </c>
      <c r="E251" s="2">
        <v>612000</v>
      </c>
      <c r="F251" s="2">
        <v>76000</v>
      </c>
      <c r="G251" s="2">
        <v>20000</v>
      </c>
      <c r="H251" t="s">
        <v>10</v>
      </c>
      <c r="I251" s="2">
        <f t="shared" si="14"/>
        <v>688000</v>
      </c>
      <c r="J251" s="2">
        <f t="shared" si="13"/>
        <v>708000</v>
      </c>
    </row>
    <row r="252" spans="1:10">
      <c r="A252" s="7" t="s">
        <v>272</v>
      </c>
      <c r="B252" s="7" t="s">
        <v>273</v>
      </c>
      <c r="C252" t="s">
        <v>274</v>
      </c>
      <c r="D252" s="7" t="str">
        <f t="shared" si="12"/>
        <v>Senior</v>
      </c>
      <c r="E252" s="2">
        <v>1024000</v>
      </c>
      <c r="F252" s="2">
        <v>137000</v>
      </c>
      <c r="G252" s="2">
        <v>18000</v>
      </c>
      <c r="H252" t="s">
        <v>10</v>
      </c>
      <c r="I252" s="2">
        <f t="shared" si="14"/>
        <v>1161000</v>
      </c>
      <c r="J252" s="2">
        <f t="shared" si="13"/>
        <v>1179000</v>
      </c>
    </row>
    <row r="253" spans="1:10">
      <c r="A253" s="7" t="s">
        <v>275</v>
      </c>
      <c r="B253" s="7" t="s">
        <v>273</v>
      </c>
      <c r="C253" t="s">
        <v>276</v>
      </c>
      <c r="D253" s="7" t="str">
        <f t="shared" si="12"/>
        <v>Mid</v>
      </c>
      <c r="E253" s="2">
        <v>620000</v>
      </c>
      <c r="F253" s="2">
        <v>73000</v>
      </c>
      <c r="G253" s="2">
        <v>35000</v>
      </c>
      <c r="H253" t="s">
        <v>10</v>
      </c>
      <c r="I253" s="2">
        <f t="shared" si="14"/>
        <v>693000</v>
      </c>
      <c r="J253" s="2">
        <f t="shared" si="13"/>
        <v>728000</v>
      </c>
    </row>
    <row r="254" spans="1:10">
      <c r="A254" s="7" t="s">
        <v>277</v>
      </c>
      <c r="B254" s="7" t="s">
        <v>273</v>
      </c>
      <c r="C254" t="s">
        <v>278</v>
      </c>
      <c r="D254" s="7" t="str">
        <f t="shared" si="12"/>
        <v>Entry</v>
      </c>
      <c r="E254" s="2">
        <v>588000</v>
      </c>
      <c r="F254" s="2">
        <v>80000</v>
      </c>
      <c r="G254" s="2">
        <v>30000</v>
      </c>
      <c r="H254" t="s">
        <v>10</v>
      </c>
      <c r="I254" s="2">
        <f t="shared" si="14"/>
        <v>668000</v>
      </c>
      <c r="J254" s="2">
        <f t="shared" si="13"/>
        <v>698000</v>
      </c>
    </row>
    <row r="255" spans="1:10">
      <c r="A255" s="7" t="s">
        <v>279</v>
      </c>
      <c r="B255" s="7" t="s">
        <v>273</v>
      </c>
      <c r="C255" t="s">
        <v>274</v>
      </c>
      <c r="D255" s="7" t="str">
        <f t="shared" si="12"/>
        <v>Senior</v>
      </c>
      <c r="E255" s="2">
        <v>980000</v>
      </c>
      <c r="F255" s="2">
        <v>129000</v>
      </c>
      <c r="G255" s="2">
        <v>28000</v>
      </c>
      <c r="H255" t="s">
        <v>13</v>
      </c>
      <c r="I255" s="2">
        <f t="shared" si="14"/>
        <v>1109000</v>
      </c>
      <c r="J255" s="2">
        <f t="shared" si="13"/>
        <v>1137000</v>
      </c>
    </row>
    <row r="256" spans="1:10">
      <c r="A256" s="7" t="s">
        <v>280</v>
      </c>
      <c r="B256" s="7" t="s">
        <v>273</v>
      </c>
      <c r="C256" t="s">
        <v>276</v>
      </c>
      <c r="D256" s="7" t="str">
        <f t="shared" si="12"/>
        <v>Mid</v>
      </c>
      <c r="E256" s="2">
        <v>682000</v>
      </c>
      <c r="F256" s="2">
        <v>76000</v>
      </c>
      <c r="G256" s="2">
        <v>20000</v>
      </c>
      <c r="H256" t="s">
        <v>10</v>
      </c>
      <c r="I256" s="2">
        <f t="shared" si="14"/>
        <v>758000</v>
      </c>
      <c r="J256" s="2">
        <f t="shared" si="13"/>
        <v>778000</v>
      </c>
    </row>
    <row r="257" spans="1:10">
      <c r="A257" s="7" t="s">
        <v>281</v>
      </c>
      <c r="B257" s="7" t="s">
        <v>273</v>
      </c>
      <c r="C257" t="s">
        <v>278</v>
      </c>
      <c r="D257" s="7" t="str">
        <f t="shared" si="12"/>
        <v>Entry</v>
      </c>
      <c r="E257" s="2">
        <v>559000</v>
      </c>
      <c r="F257" s="2">
        <v>64000</v>
      </c>
      <c r="G257" s="2">
        <v>30000</v>
      </c>
      <c r="H257" t="s">
        <v>10</v>
      </c>
      <c r="I257" s="2">
        <f t="shared" si="14"/>
        <v>623000</v>
      </c>
      <c r="J257" s="2">
        <f t="shared" si="13"/>
        <v>653000</v>
      </c>
    </row>
    <row r="258" spans="1:10">
      <c r="A258" s="7" t="s">
        <v>282</v>
      </c>
      <c r="B258" s="7" t="s">
        <v>273</v>
      </c>
      <c r="C258" t="s">
        <v>278</v>
      </c>
      <c r="D258" s="7" t="str">
        <f t="shared" si="12"/>
        <v>Entry</v>
      </c>
      <c r="E258" s="2">
        <v>551000</v>
      </c>
      <c r="F258" s="2">
        <v>67000</v>
      </c>
      <c r="G258" s="2">
        <v>28000</v>
      </c>
      <c r="H258" t="s">
        <v>10</v>
      </c>
      <c r="I258" s="2">
        <f t="shared" si="14"/>
        <v>618000</v>
      </c>
      <c r="J258" s="2">
        <f t="shared" si="13"/>
        <v>646000</v>
      </c>
    </row>
    <row r="259" spans="1:10">
      <c r="A259" s="7" t="s">
        <v>283</v>
      </c>
      <c r="B259" s="7" t="s">
        <v>273</v>
      </c>
      <c r="C259" t="s">
        <v>278</v>
      </c>
      <c r="D259" s="7" t="str">
        <f t="shared" ref="D259:D322" si="15">IF(OR(ISNUMBER(SEARCH("Manager",C259)),ISNUMBER(SEARCH("Controller",C259))),"Leadership",IF(OR(ISNUMBER(SEARCH("Senior",C259)),ISNUMBER(SEARCH("Regional",C259))),"Senior",IF(OR(ISNUMBER(SEARCH("Engineer",C259)),ISNUMBER(SEARCH("Analyst",C259)),ISNUMBER(SEARCH("Specialist",C259)),ISNUMBER(SEARCH("Business Partner",C259)),ISNUMBER(SEARCH("Account Manager",C259))),"Mid","Entry")))</f>
        <v>Entry</v>
      </c>
      <c r="E259" s="2">
        <v>649000</v>
      </c>
      <c r="F259" s="2">
        <v>84000</v>
      </c>
      <c r="G259" s="2">
        <v>18000</v>
      </c>
      <c r="H259" t="s">
        <v>10</v>
      </c>
      <c r="I259" s="2">
        <f t="shared" si="14"/>
        <v>733000</v>
      </c>
      <c r="J259" s="2">
        <f t="shared" ref="J259:J322" si="16">I259+G259</f>
        <v>751000</v>
      </c>
    </row>
    <row r="260" spans="1:10">
      <c r="A260" s="7" t="s">
        <v>284</v>
      </c>
      <c r="B260" s="7" t="s">
        <v>273</v>
      </c>
      <c r="C260" t="s">
        <v>274</v>
      </c>
      <c r="D260" s="7" t="str">
        <f t="shared" si="15"/>
        <v>Senior</v>
      </c>
      <c r="E260" s="2">
        <v>931000</v>
      </c>
      <c r="F260" s="2">
        <v>107000</v>
      </c>
      <c r="G260" s="2">
        <v>20000</v>
      </c>
      <c r="H260" t="s">
        <v>10</v>
      </c>
      <c r="I260" s="2">
        <f t="shared" si="14"/>
        <v>1038000</v>
      </c>
      <c r="J260" s="2">
        <f t="shared" si="16"/>
        <v>1058000</v>
      </c>
    </row>
    <row r="261" spans="1:10">
      <c r="A261" s="7" t="s">
        <v>285</v>
      </c>
      <c r="B261" s="7" t="s">
        <v>273</v>
      </c>
      <c r="C261" t="s">
        <v>274</v>
      </c>
      <c r="D261" s="7" t="str">
        <f t="shared" si="15"/>
        <v>Senior</v>
      </c>
      <c r="E261" s="2">
        <v>1015000</v>
      </c>
      <c r="F261" s="2">
        <v>109000</v>
      </c>
      <c r="G261" s="2">
        <v>20000</v>
      </c>
      <c r="H261" t="s">
        <v>10</v>
      </c>
      <c r="I261" s="2">
        <f t="shared" si="14"/>
        <v>1124000</v>
      </c>
      <c r="J261" s="2">
        <f t="shared" si="16"/>
        <v>1144000</v>
      </c>
    </row>
    <row r="262" spans="1:10">
      <c r="A262" s="7" t="s">
        <v>286</v>
      </c>
      <c r="B262" s="7" t="s">
        <v>273</v>
      </c>
      <c r="C262" t="s">
        <v>276</v>
      </c>
      <c r="D262" s="7" t="str">
        <f t="shared" si="15"/>
        <v>Mid</v>
      </c>
      <c r="E262" s="2">
        <v>698000</v>
      </c>
      <c r="F262" s="2">
        <v>84000</v>
      </c>
      <c r="G262" s="2">
        <v>15000</v>
      </c>
      <c r="H262" t="s">
        <v>10</v>
      </c>
      <c r="I262" s="2">
        <f t="shared" si="14"/>
        <v>782000</v>
      </c>
      <c r="J262" s="2">
        <f t="shared" si="16"/>
        <v>797000</v>
      </c>
    </row>
    <row r="263" spans="1:10">
      <c r="A263" s="7" t="s">
        <v>287</v>
      </c>
      <c r="B263" s="7" t="s">
        <v>273</v>
      </c>
      <c r="C263" t="s">
        <v>288</v>
      </c>
      <c r="D263" s="7" t="str">
        <f t="shared" si="15"/>
        <v>Mid</v>
      </c>
      <c r="E263" s="2">
        <v>808000</v>
      </c>
      <c r="F263" s="2">
        <v>100000</v>
      </c>
      <c r="G263" s="2">
        <v>20000</v>
      </c>
      <c r="H263" t="s">
        <v>10</v>
      </c>
      <c r="I263" s="2">
        <f t="shared" si="14"/>
        <v>908000</v>
      </c>
      <c r="J263" s="2">
        <f t="shared" si="16"/>
        <v>928000</v>
      </c>
    </row>
    <row r="264" spans="1:10">
      <c r="A264" s="7" t="s">
        <v>289</v>
      </c>
      <c r="B264" s="7" t="s">
        <v>273</v>
      </c>
      <c r="C264" t="s">
        <v>290</v>
      </c>
      <c r="D264" s="7" t="str">
        <f t="shared" si="15"/>
        <v>Senior</v>
      </c>
      <c r="E264" s="2">
        <v>909000</v>
      </c>
      <c r="F264" s="2">
        <v>120000</v>
      </c>
      <c r="G264" s="2">
        <v>20000</v>
      </c>
      <c r="H264" t="s">
        <v>10</v>
      </c>
      <c r="I264" s="2">
        <f t="shared" si="14"/>
        <v>1029000</v>
      </c>
      <c r="J264" s="2">
        <f t="shared" si="16"/>
        <v>1049000</v>
      </c>
    </row>
    <row r="265" spans="1:10">
      <c r="A265" s="7" t="s">
        <v>291</v>
      </c>
      <c r="B265" s="7" t="s">
        <v>273</v>
      </c>
      <c r="C265" t="s">
        <v>276</v>
      </c>
      <c r="D265" s="7" t="str">
        <f t="shared" si="15"/>
        <v>Mid</v>
      </c>
      <c r="E265" s="2">
        <v>637000</v>
      </c>
      <c r="F265" s="2">
        <v>82000</v>
      </c>
      <c r="G265" s="2">
        <v>35000</v>
      </c>
      <c r="H265" t="s">
        <v>10</v>
      </c>
      <c r="I265" s="2">
        <f t="shared" si="14"/>
        <v>719000</v>
      </c>
      <c r="J265" s="2">
        <f t="shared" si="16"/>
        <v>754000</v>
      </c>
    </row>
    <row r="266" spans="1:10">
      <c r="A266" s="7" t="s">
        <v>292</v>
      </c>
      <c r="B266" s="7" t="s">
        <v>273</v>
      </c>
      <c r="C266" t="s">
        <v>290</v>
      </c>
      <c r="D266" s="7" t="str">
        <f t="shared" si="15"/>
        <v>Senior</v>
      </c>
      <c r="E266" s="2">
        <v>912000</v>
      </c>
      <c r="F266" s="2">
        <v>100000</v>
      </c>
      <c r="G266" s="2">
        <v>22000</v>
      </c>
      <c r="H266" t="s">
        <v>10</v>
      </c>
      <c r="I266" s="2">
        <f t="shared" si="14"/>
        <v>1012000</v>
      </c>
      <c r="J266" s="2">
        <f t="shared" si="16"/>
        <v>1034000</v>
      </c>
    </row>
    <row r="267" spans="1:10">
      <c r="A267" s="7" t="s">
        <v>293</v>
      </c>
      <c r="B267" s="7" t="s">
        <v>273</v>
      </c>
      <c r="C267" t="s">
        <v>290</v>
      </c>
      <c r="D267" s="7" t="str">
        <f t="shared" si="15"/>
        <v>Senior</v>
      </c>
      <c r="E267" s="2">
        <v>853000</v>
      </c>
      <c r="F267" s="2">
        <v>114000</v>
      </c>
      <c r="G267" s="2">
        <v>28000</v>
      </c>
      <c r="H267" t="s">
        <v>10</v>
      </c>
      <c r="I267" s="2">
        <f t="shared" si="14"/>
        <v>967000</v>
      </c>
      <c r="J267" s="2">
        <f t="shared" si="16"/>
        <v>995000</v>
      </c>
    </row>
    <row r="268" spans="1:10">
      <c r="A268" s="7" t="s">
        <v>294</v>
      </c>
      <c r="B268" s="7" t="s">
        <v>273</v>
      </c>
      <c r="C268" t="s">
        <v>278</v>
      </c>
      <c r="D268" s="7" t="str">
        <f t="shared" si="15"/>
        <v>Entry</v>
      </c>
      <c r="E268" s="2">
        <v>598000</v>
      </c>
      <c r="F268" s="2">
        <v>78000</v>
      </c>
      <c r="G268" s="2">
        <v>30000</v>
      </c>
      <c r="H268" t="s">
        <v>10</v>
      </c>
      <c r="I268" s="2">
        <f t="shared" si="14"/>
        <v>676000</v>
      </c>
      <c r="J268" s="2">
        <f t="shared" si="16"/>
        <v>706000</v>
      </c>
    </row>
    <row r="269" spans="1:10">
      <c r="A269" s="7" t="s">
        <v>295</v>
      </c>
      <c r="B269" s="7" t="s">
        <v>273</v>
      </c>
      <c r="C269" t="s">
        <v>274</v>
      </c>
      <c r="D269" s="7" t="str">
        <f t="shared" si="15"/>
        <v>Senior</v>
      </c>
      <c r="E269" s="2">
        <v>889000</v>
      </c>
      <c r="F269" s="2">
        <v>96000</v>
      </c>
      <c r="G269" s="2">
        <v>20000</v>
      </c>
      <c r="H269" t="s">
        <v>10</v>
      </c>
      <c r="I269" s="2">
        <f t="shared" si="14"/>
        <v>985000</v>
      </c>
      <c r="J269" s="2">
        <f t="shared" si="16"/>
        <v>1005000</v>
      </c>
    </row>
    <row r="270" spans="1:10">
      <c r="A270" s="7" t="s">
        <v>296</v>
      </c>
      <c r="B270" s="7" t="s">
        <v>273</v>
      </c>
      <c r="C270" t="s">
        <v>276</v>
      </c>
      <c r="D270" s="7" t="str">
        <f t="shared" si="15"/>
        <v>Mid</v>
      </c>
      <c r="E270" s="2">
        <v>654000</v>
      </c>
      <c r="F270" s="2">
        <v>75000</v>
      </c>
      <c r="G270" s="2">
        <v>18000</v>
      </c>
      <c r="H270" t="s">
        <v>10</v>
      </c>
      <c r="I270" s="2">
        <f t="shared" si="14"/>
        <v>729000</v>
      </c>
      <c r="J270" s="2">
        <f t="shared" si="16"/>
        <v>747000</v>
      </c>
    </row>
    <row r="271" spans="1:10">
      <c r="A271" s="7" t="s">
        <v>297</v>
      </c>
      <c r="B271" s="7" t="s">
        <v>273</v>
      </c>
      <c r="C271" t="s">
        <v>278</v>
      </c>
      <c r="D271" s="7" t="str">
        <f t="shared" si="15"/>
        <v>Entry</v>
      </c>
      <c r="E271" s="2">
        <v>556000</v>
      </c>
      <c r="F271" s="2">
        <v>57000</v>
      </c>
      <c r="G271" s="2">
        <v>20000</v>
      </c>
      <c r="H271" t="s">
        <v>10</v>
      </c>
      <c r="I271" s="2">
        <f t="shared" si="14"/>
        <v>613000</v>
      </c>
      <c r="J271" s="2">
        <f t="shared" si="16"/>
        <v>633000</v>
      </c>
    </row>
    <row r="272" spans="1:10">
      <c r="A272" s="7" t="s">
        <v>298</v>
      </c>
      <c r="B272" s="7" t="s">
        <v>273</v>
      </c>
      <c r="C272" t="s">
        <v>288</v>
      </c>
      <c r="D272" s="7" t="str">
        <f t="shared" si="15"/>
        <v>Mid</v>
      </c>
      <c r="E272" s="2">
        <v>727000</v>
      </c>
      <c r="F272" s="2">
        <v>85000</v>
      </c>
      <c r="G272" s="2">
        <v>22000</v>
      </c>
      <c r="H272" t="s">
        <v>10</v>
      </c>
      <c r="I272" s="2">
        <f t="shared" ref="I272:I335" si="17">E272+F272</f>
        <v>812000</v>
      </c>
      <c r="J272" s="2">
        <f t="shared" si="16"/>
        <v>834000</v>
      </c>
    </row>
    <row r="273" spans="1:10">
      <c r="A273" s="7" t="s">
        <v>299</v>
      </c>
      <c r="B273" s="7" t="s">
        <v>273</v>
      </c>
      <c r="C273" t="s">
        <v>288</v>
      </c>
      <c r="D273" s="7" t="str">
        <f t="shared" si="15"/>
        <v>Mid</v>
      </c>
      <c r="E273" s="2">
        <v>862000</v>
      </c>
      <c r="F273" s="2">
        <v>101000</v>
      </c>
      <c r="G273" s="2">
        <v>30000</v>
      </c>
      <c r="H273" t="s">
        <v>10</v>
      </c>
      <c r="I273" s="2">
        <f t="shared" si="17"/>
        <v>963000</v>
      </c>
      <c r="J273" s="2">
        <f t="shared" si="16"/>
        <v>993000</v>
      </c>
    </row>
    <row r="274" spans="1:10">
      <c r="A274" s="7" t="s">
        <v>300</v>
      </c>
      <c r="B274" s="7" t="s">
        <v>273</v>
      </c>
      <c r="C274" t="s">
        <v>276</v>
      </c>
      <c r="D274" s="7" t="str">
        <f t="shared" si="15"/>
        <v>Mid</v>
      </c>
      <c r="E274" s="2">
        <v>727000</v>
      </c>
      <c r="F274" s="2">
        <v>84000</v>
      </c>
      <c r="G274" s="2">
        <v>15000</v>
      </c>
      <c r="H274" t="s">
        <v>10</v>
      </c>
      <c r="I274" s="2">
        <f t="shared" si="17"/>
        <v>811000</v>
      </c>
      <c r="J274" s="2">
        <f t="shared" si="16"/>
        <v>826000</v>
      </c>
    </row>
    <row r="275" spans="1:10">
      <c r="A275" s="7" t="s">
        <v>301</v>
      </c>
      <c r="B275" s="7" t="s">
        <v>273</v>
      </c>
      <c r="C275" t="s">
        <v>276</v>
      </c>
      <c r="D275" s="7" t="str">
        <f t="shared" si="15"/>
        <v>Mid</v>
      </c>
      <c r="E275" s="2">
        <v>687000</v>
      </c>
      <c r="F275" s="2">
        <v>78000</v>
      </c>
      <c r="G275" s="2">
        <v>20000</v>
      </c>
      <c r="H275" t="s">
        <v>10</v>
      </c>
      <c r="I275" s="2">
        <f t="shared" si="17"/>
        <v>765000</v>
      </c>
      <c r="J275" s="2">
        <f t="shared" si="16"/>
        <v>785000</v>
      </c>
    </row>
    <row r="276" spans="1:10">
      <c r="A276" s="7" t="s">
        <v>302</v>
      </c>
      <c r="B276" s="7" t="s">
        <v>273</v>
      </c>
      <c r="C276" t="s">
        <v>276</v>
      </c>
      <c r="D276" s="7" t="str">
        <f t="shared" si="15"/>
        <v>Mid</v>
      </c>
      <c r="E276" s="2">
        <v>704000</v>
      </c>
      <c r="F276" s="2">
        <v>90000</v>
      </c>
      <c r="G276" s="2">
        <v>20000</v>
      </c>
      <c r="H276" t="s">
        <v>10</v>
      </c>
      <c r="I276" s="2">
        <f t="shared" si="17"/>
        <v>794000</v>
      </c>
      <c r="J276" s="2">
        <f t="shared" si="16"/>
        <v>814000</v>
      </c>
    </row>
    <row r="277" spans="1:10">
      <c r="A277" s="7" t="s">
        <v>303</v>
      </c>
      <c r="B277" s="7" t="s">
        <v>273</v>
      </c>
      <c r="C277" t="s">
        <v>278</v>
      </c>
      <c r="D277" s="7" t="str">
        <f t="shared" si="15"/>
        <v>Entry</v>
      </c>
      <c r="E277" s="2">
        <v>621000</v>
      </c>
      <c r="F277" s="2">
        <v>85000</v>
      </c>
      <c r="G277" s="2">
        <v>15000</v>
      </c>
      <c r="H277" t="s">
        <v>10</v>
      </c>
      <c r="I277" s="2">
        <f t="shared" si="17"/>
        <v>706000</v>
      </c>
      <c r="J277" s="2">
        <f t="shared" si="16"/>
        <v>721000</v>
      </c>
    </row>
    <row r="278" spans="1:10">
      <c r="A278" s="7" t="s">
        <v>304</v>
      </c>
      <c r="B278" s="7" t="s">
        <v>273</v>
      </c>
      <c r="C278" t="s">
        <v>290</v>
      </c>
      <c r="D278" s="7" t="str">
        <f t="shared" si="15"/>
        <v>Senior</v>
      </c>
      <c r="E278" s="2">
        <v>868000</v>
      </c>
      <c r="F278" s="2">
        <v>112000</v>
      </c>
      <c r="G278" s="2">
        <v>30000</v>
      </c>
      <c r="H278" t="s">
        <v>10</v>
      </c>
      <c r="I278" s="2">
        <f t="shared" si="17"/>
        <v>980000</v>
      </c>
      <c r="J278" s="2">
        <f t="shared" si="16"/>
        <v>1010000</v>
      </c>
    </row>
    <row r="279" spans="1:10">
      <c r="A279" s="7" t="s">
        <v>305</v>
      </c>
      <c r="B279" s="7" t="s">
        <v>273</v>
      </c>
      <c r="C279" t="s">
        <v>276</v>
      </c>
      <c r="D279" s="7" t="str">
        <f t="shared" si="15"/>
        <v>Mid</v>
      </c>
      <c r="E279" s="2">
        <v>628000</v>
      </c>
      <c r="F279" s="2">
        <v>64000</v>
      </c>
      <c r="G279" s="2">
        <v>30000</v>
      </c>
      <c r="H279" t="s">
        <v>10</v>
      </c>
      <c r="I279" s="2">
        <f t="shared" si="17"/>
        <v>692000</v>
      </c>
      <c r="J279" s="2">
        <f t="shared" si="16"/>
        <v>722000</v>
      </c>
    </row>
    <row r="280" spans="1:10">
      <c r="A280" s="7" t="s">
        <v>306</v>
      </c>
      <c r="B280" s="7" t="s">
        <v>273</v>
      </c>
      <c r="C280" t="s">
        <v>278</v>
      </c>
      <c r="D280" s="7" t="str">
        <f t="shared" si="15"/>
        <v>Entry</v>
      </c>
      <c r="E280" s="2">
        <v>548000</v>
      </c>
      <c r="F280" s="2">
        <v>73000</v>
      </c>
      <c r="G280" s="2">
        <v>35000</v>
      </c>
      <c r="H280" t="s">
        <v>10</v>
      </c>
      <c r="I280" s="2">
        <f t="shared" si="17"/>
        <v>621000</v>
      </c>
      <c r="J280" s="2">
        <f t="shared" si="16"/>
        <v>656000</v>
      </c>
    </row>
    <row r="281" spans="1:10">
      <c r="A281" s="7" t="s">
        <v>307</v>
      </c>
      <c r="B281" s="7" t="s">
        <v>273</v>
      </c>
      <c r="C281" t="s">
        <v>276</v>
      </c>
      <c r="D281" s="7" t="str">
        <f t="shared" si="15"/>
        <v>Mid</v>
      </c>
      <c r="E281" s="2">
        <v>659000</v>
      </c>
      <c r="F281" s="2">
        <v>72000</v>
      </c>
      <c r="G281" s="2">
        <v>20000</v>
      </c>
      <c r="H281" t="s">
        <v>10</v>
      </c>
      <c r="I281" s="2">
        <f t="shared" si="17"/>
        <v>731000</v>
      </c>
      <c r="J281" s="2">
        <f t="shared" si="16"/>
        <v>751000</v>
      </c>
    </row>
    <row r="282" spans="1:10">
      <c r="A282" s="7" t="s">
        <v>308</v>
      </c>
      <c r="B282" s="7" t="s">
        <v>273</v>
      </c>
      <c r="C282" t="s">
        <v>276</v>
      </c>
      <c r="D282" s="7" t="str">
        <f t="shared" si="15"/>
        <v>Mid</v>
      </c>
      <c r="E282" s="2">
        <v>635000</v>
      </c>
      <c r="F282" s="2">
        <v>78000</v>
      </c>
      <c r="G282" s="2">
        <v>20000</v>
      </c>
      <c r="H282" t="s">
        <v>10</v>
      </c>
      <c r="I282" s="2">
        <f t="shared" si="17"/>
        <v>713000</v>
      </c>
      <c r="J282" s="2">
        <f t="shared" si="16"/>
        <v>733000</v>
      </c>
    </row>
    <row r="283" spans="1:10">
      <c r="A283" s="7" t="s">
        <v>309</v>
      </c>
      <c r="B283" s="7" t="s">
        <v>273</v>
      </c>
      <c r="C283" t="s">
        <v>276</v>
      </c>
      <c r="D283" s="7" t="str">
        <f t="shared" si="15"/>
        <v>Mid</v>
      </c>
      <c r="E283" s="2">
        <v>724000</v>
      </c>
      <c r="F283" s="2">
        <v>74000</v>
      </c>
      <c r="G283" s="2">
        <v>15000</v>
      </c>
      <c r="H283" t="s">
        <v>10</v>
      </c>
      <c r="I283" s="2">
        <f t="shared" si="17"/>
        <v>798000</v>
      </c>
      <c r="J283" s="2">
        <f t="shared" si="16"/>
        <v>813000</v>
      </c>
    </row>
    <row r="284" spans="1:10">
      <c r="A284" s="7" t="s">
        <v>310</v>
      </c>
      <c r="B284" s="7" t="s">
        <v>273</v>
      </c>
      <c r="C284" t="s">
        <v>278</v>
      </c>
      <c r="D284" s="7" t="str">
        <f t="shared" si="15"/>
        <v>Entry</v>
      </c>
      <c r="E284" s="2">
        <v>624000</v>
      </c>
      <c r="F284" s="2">
        <v>87000</v>
      </c>
      <c r="G284" s="2">
        <v>25000</v>
      </c>
      <c r="H284" t="s">
        <v>10</v>
      </c>
      <c r="I284" s="2">
        <f t="shared" si="17"/>
        <v>711000</v>
      </c>
      <c r="J284" s="2">
        <f t="shared" si="16"/>
        <v>736000</v>
      </c>
    </row>
    <row r="285" spans="1:10">
      <c r="A285" s="7" t="s">
        <v>311</v>
      </c>
      <c r="B285" s="7" t="s">
        <v>273</v>
      </c>
      <c r="C285" t="s">
        <v>274</v>
      </c>
      <c r="D285" s="7" t="str">
        <f t="shared" si="15"/>
        <v>Senior</v>
      </c>
      <c r="E285" s="2">
        <v>869000</v>
      </c>
      <c r="F285" s="2">
        <v>95000</v>
      </c>
      <c r="G285" s="2">
        <v>18000</v>
      </c>
      <c r="H285" t="s">
        <v>10</v>
      </c>
      <c r="I285" s="2">
        <f t="shared" si="17"/>
        <v>964000</v>
      </c>
      <c r="J285" s="2">
        <f t="shared" si="16"/>
        <v>982000</v>
      </c>
    </row>
    <row r="286" spans="1:10">
      <c r="A286" s="7" t="s">
        <v>312</v>
      </c>
      <c r="B286" s="7" t="s">
        <v>273</v>
      </c>
      <c r="C286" t="s">
        <v>290</v>
      </c>
      <c r="D286" s="7" t="str">
        <f t="shared" si="15"/>
        <v>Senior</v>
      </c>
      <c r="E286" s="2">
        <v>827000</v>
      </c>
      <c r="F286" s="2">
        <v>84000</v>
      </c>
      <c r="G286" s="2">
        <v>28000</v>
      </c>
      <c r="H286" t="s">
        <v>10</v>
      </c>
      <c r="I286" s="2">
        <f t="shared" si="17"/>
        <v>911000</v>
      </c>
      <c r="J286" s="2">
        <f t="shared" si="16"/>
        <v>939000</v>
      </c>
    </row>
    <row r="287" spans="1:10">
      <c r="A287" s="7" t="s">
        <v>313</v>
      </c>
      <c r="B287" s="7" t="s">
        <v>273</v>
      </c>
      <c r="C287" t="s">
        <v>276</v>
      </c>
      <c r="D287" s="7" t="str">
        <f t="shared" si="15"/>
        <v>Mid</v>
      </c>
      <c r="E287" s="2">
        <v>696000</v>
      </c>
      <c r="F287" s="2">
        <v>83000</v>
      </c>
      <c r="G287" s="2">
        <v>35000</v>
      </c>
      <c r="H287" t="s">
        <v>10</v>
      </c>
      <c r="I287" s="2">
        <f t="shared" si="17"/>
        <v>779000</v>
      </c>
      <c r="J287" s="2">
        <f t="shared" si="16"/>
        <v>814000</v>
      </c>
    </row>
    <row r="288" spans="1:10">
      <c r="A288" s="7" t="s">
        <v>314</v>
      </c>
      <c r="B288" s="7" t="s">
        <v>273</v>
      </c>
      <c r="C288" t="s">
        <v>290</v>
      </c>
      <c r="D288" s="7" t="str">
        <f t="shared" si="15"/>
        <v>Senior</v>
      </c>
      <c r="E288" s="2">
        <v>777000</v>
      </c>
      <c r="F288" s="2">
        <v>102000</v>
      </c>
      <c r="G288" s="2">
        <v>35000</v>
      </c>
      <c r="H288" t="s">
        <v>13</v>
      </c>
      <c r="I288" s="2">
        <f t="shared" si="17"/>
        <v>879000</v>
      </c>
      <c r="J288" s="2">
        <f t="shared" si="16"/>
        <v>914000</v>
      </c>
    </row>
    <row r="289" spans="1:10">
      <c r="A289" s="7" t="s">
        <v>315</v>
      </c>
      <c r="B289" s="7" t="s">
        <v>273</v>
      </c>
      <c r="C289" t="s">
        <v>276</v>
      </c>
      <c r="D289" s="7" t="str">
        <f t="shared" si="15"/>
        <v>Mid</v>
      </c>
      <c r="E289" s="2">
        <v>698000</v>
      </c>
      <c r="F289" s="2">
        <v>95000</v>
      </c>
      <c r="G289" s="2">
        <v>28000</v>
      </c>
      <c r="H289" t="s">
        <v>10</v>
      </c>
      <c r="I289" s="2">
        <f t="shared" si="17"/>
        <v>793000</v>
      </c>
      <c r="J289" s="2">
        <f t="shared" si="16"/>
        <v>821000</v>
      </c>
    </row>
    <row r="290" spans="1:10">
      <c r="A290" s="7" t="s">
        <v>316</v>
      </c>
      <c r="B290" s="7" t="s">
        <v>273</v>
      </c>
      <c r="C290" t="s">
        <v>278</v>
      </c>
      <c r="D290" s="7" t="str">
        <f t="shared" si="15"/>
        <v>Entry</v>
      </c>
      <c r="E290" s="2">
        <v>671000</v>
      </c>
      <c r="F290" s="2">
        <v>82000</v>
      </c>
      <c r="G290" s="2">
        <v>25000</v>
      </c>
      <c r="H290" t="s">
        <v>13</v>
      </c>
      <c r="I290" s="2">
        <f t="shared" si="17"/>
        <v>753000</v>
      </c>
      <c r="J290" s="2">
        <f t="shared" si="16"/>
        <v>778000</v>
      </c>
    </row>
    <row r="291" spans="1:10">
      <c r="A291" s="7" t="s">
        <v>317</v>
      </c>
      <c r="B291" s="7" t="s">
        <v>273</v>
      </c>
      <c r="C291" t="s">
        <v>278</v>
      </c>
      <c r="D291" s="7" t="str">
        <f t="shared" si="15"/>
        <v>Entry</v>
      </c>
      <c r="E291" s="2">
        <v>578000</v>
      </c>
      <c r="F291" s="2">
        <v>78000</v>
      </c>
      <c r="G291" s="2">
        <v>15000</v>
      </c>
      <c r="H291" t="s">
        <v>10</v>
      </c>
      <c r="I291" s="2">
        <f t="shared" si="17"/>
        <v>656000</v>
      </c>
      <c r="J291" s="2">
        <f t="shared" si="16"/>
        <v>671000</v>
      </c>
    </row>
    <row r="292" spans="1:10">
      <c r="A292" s="7" t="s">
        <v>318</v>
      </c>
      <c r="B292" s="7" t="s">
        <v>273</v>
      </c>
      <c r="C292" t="s">
        <v>274</v>
      </c>
      <c r="D292" s="7" t="str">
        <f t="shared" si="15"/>
        <v>Senior</v>
      </c>
      <c r="E292" s="2">
        <v>881000</v>
      </c>
      <c r="F292" s="2">
        <v>101000</v>
      </c>
      <c r="G292" s="2">
        <v>30000</v>
      </c>
      <c r="H292" t="s">
        <v>10</v>
      </c>
      <c r="I292" s="2">
        <f t="shared" si="17"/>
        <v>982000</v>
      </c>
      <c r="J292" s="2">
        <f t="shared" si="16"/>
        <v>1012000</v>
      </c>
    </row>
    <row r="293" spans="1:10">
      <c r="A293" s="7" t="s">
        <v>319</v>
      </c>
      <c r="B293" s="7" t="s">
        <v>273</v>
      </c>
      <c r="C293" t="s">
        <v>288</v>
      </c>
      <c r="D293" s="7" t="str">
        <f t="shared" si="15"/>
        <v>Mid</v>
      </c>
      <c r="E293" s="2">
        <v>768000</v>
      </c>
      <c r="F293" s="2">
        <v>107000</v>
      </c>
      <c r="G293" s="2">
        <v>35000</v>
      </c>
      <c r="H293" t="s">
        <v>10</v>
      </c>
      <c r="I293" s="2">
        <f t="shared" si="17"/>
        <v>875000</v>
      </c>
      <c r="J293" s="2">
        <f t="shared" si="16"/>
        <v>910000</v>
      </c>
    </row>
    <row r="294" spans="1:10">
      <c r="A294" s="7" t="s">
        <v>320</v>
      </c>
      <c r="B294" s="7" t="s">
        <v>273</v>
      </c>
      <c r="C294" t="s">
        <v>274</v>
      </c>
      <c r="D294" s="7" t="str">
        <f t="shared" si="15"/>
        <v>Senior</v>
      </c>
      <c r="E294" s="2">
        <v>1022000</v>
      </c>
      <c r="F294" s="2">
        <v>113000</v>
      </c>
      <c r="G294" s="2">
        <v>18000</v>
      </c>
      <c r="H294" t="s">
        <v>10</v>
      </c>
      <c r="I294" s="2">
        <f t="shared" si="17"/>
        <v>1135000</v>
      </c>
      <c r="J294" s="2">
        <f t="shared" si="16"/>
        <v>1153000</v>
      </c>
    </row>
    <row r="295" spans="1:10">
      <c r="A295" s="7" t="s">
        <v>321</v>
      </c>
      <c r="B295" s="7" t="s">
        <v>273</v>
      </c>
      <c r="C295" t="s">
        <v>276</v>
      </c>
      <c r="D295" s="7" t="str">
        <f t="shared" si="15"/>
        <v>Mid</v>
      </c>
      <c r="E295" s="2">
        <v>671000</v>
      </c>
      <c r="F295" s="2">
        <v>89000</v>
      </c>
      <c r="G295" s="2">
        <v>25000</v>
      </c>
      <c r="H295" t="s">
        <v>10</v>
      </c>
      <c r="I295" s="2">
        <f t="shared" si="17"/>
        <v>760000</v>
      </c>
      <c r="J295" s="2">
        <f t="shared" si="16"/>
        <v>785000</v>
      </c>
    </row>
    <row r="296" spans="1:10">
      <c r="A296" s="7" t="s">
        <v>322</v>
      </c>
      <c r="B296" s="7" t="s">
        <v>273</v>
      </c>
      <c r="C296" t="s">
        <v>276</v>
      </c>
      <c r="D296" s="7" t="str">
        <f t="shared" si="15"/>
        <v>Mid</v>
      </c>
      <c r="E296" s="2">
        <v>680000</v>
      </c>
      <c r="F296" s="2">
        <v>76000</v>
      </c>
      <c r="G296" s="2">
        <v>30000</v>
      </c>
      <c r="H296" t="s">
        <v>10</v>
      </c>
      <c r="I296" s="2">
        <f t="shared" si="17"/>
        <v>756000</v>
      </c>
      <c r="J296" s="2">
        <f t="shared" si="16"/>
        <v>786000</v>
      </c>
    </row>
    <row r="297" spans="1:10">
      <c r="A297" s="7" t="s">
        <v>323</v>
      </c>
      <c r="B297" s="7" t="s">
        <v>273</v>
      </c>
      <c r="C297" t="s">
        <v>274</v>
      </c>
      <c r="D297" s="7" t="str">
        <f t="shared" si="15"/>
        <v>Senior</v>
      </c>
      <c r="E297" s="2">
        <v>948000</v>
      </c>
      <c r="F297" s="2">
        <v>122000</v>
      </c>
      <c r="G297" s="2">
        <v>28000</v>
      </c>
      <c r="H297" t="s">
        <v>10</v>
      </c>
      <c r="I297" s="2">
        <f t="shared" si="17"/>
        <v>1070000</v>
      </c>
      <c r="J297" s="2">
        <f t="shared" si="16"/>
        <v>1098000</v>
      </c>
    </row>
    <row r="298" spans="1:10">
      <c r="A298" s="7" t="s">
        <v>324</v>
      </c>
      <c r="B298" s="7" t="s">
        <v>273</v>
      </c>
      <c r="C298" t="s">
        <v>274</v>
      </c>
      <c r="D298" s="7" t="str">
        <f t="shared" si="15"/>
        <v>Senior</v>
      </c>
      <c r="E298" s="2">
        <v>989000</v>
      </c>
      <c r="F298" s="2">
        <v>130000</v>
      </c>
      <c r="G298" s="2">
        <v>15000</v>
      </c>
      <c r="H298" t="s">
        <v>13</v>
      </c>
      <c r="I298" s="2">
        <f t="shared" si="17"/>
        <v>1119000</v>
      </c>
      <c r="J298" s="2">
        <f t="shared" si="16"/>
        <v>1134000</v>
      </c>
    </row>
    <row r="299" spans="1:10">
      <c r="A299" s="7" t="s">
        <v>325</v>
      </c>
      <c r="B299" s="7" t="s">
        <v>273</v>
      </c>
      <c r="C299" t="s">
        <v>278</v>
      </c>
      <c r="D299" s="7" t="str">
        <f t="shared" si="15"/>
        <v>Entry</v>
      </c>
      <c r="E299" s="2">
        <v>588000</v>
      </c>
      <c r="F299" s="2">
        <v>78000</v>
      </c>
      <c r="G299" s="2">
        <v>20000</v>
      </c>
      <c r="H299" t="s">
        <v>10</v>
      </c>
      <c r="I299" s="2">
        <f t="shared" si="17"/>
        <v>666000</v>
      </c>
      <c r="J299" s="2">
        <f t="shared" si="16"/>
        <v>686000</v>
      </c>
    </row>
    <row r="300" spans="1:10">
      <c r="A300" s="7" t="s">
        <v>326</v>
      </c>
      <c r="B300" s="7" t="s">
        <v>273</v>
      </c>
      <c r="C300" t="s">
        <v>276</v>
      </c>
      <c r="D300" s="7" t="str">
        <f t="shared" si="15"/>
        <v>Mid</v>
      </c>
      <c r="E300" s="2">
        <v>672000</v>
      </c>
      <c r="F300" s="2">
        <v>88000</v>
      </c>
      <c r="G300" s="2">
        <v>15000</v>
      </c>
      <c r="H300" t="s">
        <v>10</v>
      </c>
      <c r="I300" s="2">
        <f t="shared" si="17"/>
        <v>760000</v>
      </c>
      <c r="J300" s="2">
        <f t="shared" si="16"/>
        <v>775000</v>
      </c>
    </row>
    <row r="301" spans="1:10">
      <c r="A301" s="7" t="s">
        <v>327</v>
      </c>
      <c r="B301" s="7" t="s">
        <v>273</v>
      </c>
      <c r="C301" t="s">
        <v>276</v>
      </c>
      <c r="D301" s="7" t="str">
        <f t="shared" si="15"/>
        <v>Mid</v>
      </c>
      <c r="E301" s="2">
        <v>677000</v>
      </c>
      <c r="F301" s="2">
        <v>78000</v>
      </c>
      <c r="G301" s="2">
        <v>15000</v>
      </c>
      <c r="H301" t="s">
        <v>10</v>
      </c>
      <c r="I301" s="2">
        <f t="shared" si="17"/>
        <v>755000</v>
      </c>
      <c r="J301" s="2">
        <f t="shared" si="16"/>
        <v>770000</v>
      </c>
    </row>
    <row r="302" spans="1:10">
      <c r="A302" s="7" t="s">
        <v>328</v>
      </c>
      <c r="B302" s="7" t="s">
        <v>273</v>
      </c>
      <c r="C302" t="s">
        <v>278</v>
      </c>
      <c r="D302" s="7" t="str">
        <f t="shared" si="15"/>
        <v>Entry</v>
      </c>
      <c r="E302" s="2">
        <v>665000</v>
      </c>
      <c r="F302" s="2">
        <v>76000</v>
      </c>
      <c r="G302" s="2">
        <v>18000</v>
      </c>
      <c r="H302" t="s">
        <v>10</v>
      </c>
      <c r="I302" s="2">
        <f t="shared" si="17"/>
        <v>741000</v>
      </c>
      <c r="J302" s="2">
        <f t="shared" si="16"/>
        <v>759000</v>
      </c>
    </row>
    <row r="303" spans="1:10">
      <c r="A303" s="7" t="s">
        <v>329</v>
      </c>
      <c r="B303" s="7" t="s">
        <v>273</v>
      </c>
      <c r="C303" t="s">
        <v>278</v>
      </c>
      <c r="D303" s="7" t="str">
        <f t="shared" si="15"/>
        <v>Entry</v>
      </c>
      <c r="E303" s="2">
        <v>593000</v>
      </c>
      <c r="F303" s="2">
        <v>75000</v>
      </c>
      <c r="G303" s="2">
        <v>22000</v>
      </c>
      <c r="H303" t="s">
        <v>10</v>
      </c>
      <c r="I303" s="2">
        <f t="shared" si="17"/>
        <v>668000</v>
      </c>
      <c r="J303" s="2">
        <f t="shared" si="16"/>
        <v>690000</v>
      </c>
    </row>
    <row r="304" spans="1:10">
      <c r="A304" s="7" t="s">
        <v>330</v>
      </c>
      <c r="B304" s="7" t="s">
        <v>273</v>
      </c>
      <c r="C304" t="s">
        <v>276</v>
      </c>
      <c r="D304" s="7" t="str">
        <f t="shared" si="15"/>
        <v>Mid</v>
      </c>
      <c r="E304" s="2">
        <v>612000</v>
      </c>
      <c r="F304" s="2">
        <v>74000</v>
      </c>
      <c r="G304" s="2">
        <v>18000</v>
      </c>
      <c r="H304" t="s">
        <v>10</v>
      </c>
      <c r="I304" s="2">
        <f t="shared" si="17"/>
        <v>686000</v>
      </c>
      <c r="J304" s="2">
        <f t="shared" si="16"/>
        <v>704000</v>
      </c>
    </row>
    <row r="305" spans="1:10">
      <c r="A305" s="7" t="s">
        <v>331</v>
      </c>
      <c r="B305" s="7" t="s">
        <v>273</v>
      </c>
      <c r="C305" t="s">
        <v>276</v>
      </c>
      <c r="D305" s="7" t="str">
        <f t="shared" si="15"/>
        <v>Mid</v>
      </c>
      <c r="E305" s="2">
        <v>649000</v>
      </c>
      <c r="F305" s="2">
        <v>91000</v>
      </c>
      <c r="G305" s="2">
        <v>25000</v>
      </c>
      <c r="H305" t="s">
        <v>10</v>
      </c>
      <c r="I305" s="2">
        <f t="shared" si="17"/>
        <v>740000</v>
      </c>
      <c r="J305" s="2">
        <f t="shared" si="16"/>
        <v>765000</v>
      </c>
    </row>
    <row r="306" spans="1:10">
      <c r="A306" s="7" t="s">
        <v>332</v>
      </c>
      <c r="B306" s="7" t="s">
        <v>273</v>
      </c>
      <c r="C306" t="s">
        <v>333</v>
      </c>
      <c r="D306" s="7" t="str">
        <f t="shared" si="15"/>
        <v>Leadership</v>
      </c>
      <c r="E306" s="2">
        <v>1180000</v>
      </c>
      <c r="F306" s="2">
        <v>124000</v>
      </c>
      <c r="G306" s="2">
        <v>18000</v>
      </c>
      <c r="H306" t="s">
        <v>10</v>
      </c>
      <c r="I306" s="2">
        <f t="shared" si="17"/>
        <v>1304000</v>
      </c>
      <c r="J306" s="2">
        <f t="shared" si="16"/>
        <v>1322000</v>
      </c>
    </row>
    <row r="307" spans="1:10">
      <c r="A307" s="7" t="s">
        <v>334</v>
      </c>
      <c r="B307" s="7" t="s">
        <v>273</v>
      </c>
      <c r="C307" t="s">
        <v>288</v>
      </c>
      <c r="D307" s="7" t="str">
        <f t="shared" si="15"/>
        <v>Mid</v>
      </c>
      <c r="E307" s="2">
        <v>778000</v>
      </c>
      <c r="F307" s="2">
        <v>81000</v>
      </c>
      <c r="G307" s="2">
        <v>28000</v>
      </c>
      <c r="H307" t="s">
        <v>10</v>
      </c>
      <c r="I307" s="2">
        <f t="shared" si="17"/>
        <v>859000</v>
      </c>
      <c r="J307" s="2">
        <f t="shared" si="16"/>
        <v>887000</v>
      </c>
    </row>
    <row r="308" spans="1:10">
      <c r="A308" s="7" t="s">
        <v>335</v>
      </c>
      <c r="B308" s="7" t="s">
        <v>273</v>
      </c>
      <c r="C308" t="s">
        <v>278</v>
      </c>
      <c r="D308" s="7" t="str">
        <f t="shared" si="15"/>
        <v>Entry</v>
      </c>
      <c r="E308" s="2">
        <v>613000</v>
      </c>
      <c r="F308" s="2">
        <v>68000</v>
      </c>
      <c r="G308" s="2">
        <v>25000</v>
      </c>
      <c r="H308" t="s">
        <v>10</v>
      </c>
      <c r="I308" s="2">
        <f t="shared" si="17"/>
        <v>681000</v>
      </c>
      <c r="J308" s="2">
        <f t="shared" si="16"/>
        <v>706000</v>
      </c>
    </row>
    <row r="309" spans="1:10">
      <c r="A309" s="7" t="s">
        <v>336</v>
      </c>
      <c r="B309" s="7" t="s">
        <v>273</v>
      </c>
      <c r="C309" t="s">
        <v>278</v>
      </c>
      <c r="D309" s="7" t="str">
        <f t="shared" si="15"/>
        <v>Entry</v>
      </c>
      <c r="E309" s="2">
        <v>662000</v>
      </c>
      <c r="F309" s="2">
        <v>83000</v>
      </c>
      <c r="G309" s="2">
        <v>28000</v>
      </c>
      <c r="H309" t="s">
        <v>10</v>
      </c>
      <c r="I309" s="2">
        <f t="shared" si="17"/>
        <v>745000</v>
      </c>
      <c r="J309" s="2">
        <f t="shared" si="16"/>
        <v>773000</v>
      </c>
    </row>
    <row r="310" spans="1:10">
      <c r="A310" s="7" t="s">
        <v>337</v>
      </c>
      <c r="B310" s="7" t="s">
        <v>273</v>
      </c>
      <c r="C310" t="s">
        <v>276</v>
      </c>
      <c r="D310" s="7" t="str">
        <f t="shared" si="15"/>
        <v>Mid</v>
      </c>
      <c r="E310" s="2">
        <v>614000</v>
      </c>
      <c r="F310" s="2">
        <v>65000</v>
      </c>
      <c r="G310" s="2">
        <v>35000</v>
      </c>
      <c r="H310" t="s">
        <v>13</v>
      </c>
      <c r="I310" s="2">
        <f t="shared" si="17"/>
        <v>679000</v>
      </c>
      <c r="J310" s="2">
        <f t="shared" si="16"/>
        <v>714000</v>
      </c>
    </row>
    <row r="311" spans="1:10">
      <c r="A311" s="7" t="s">
        <v>338</v>
      </c>
      <c r="B311" s="7" t="s">
        <v>273</v>
      </c>
      <c r="C311" t="s">
        <v>278</v>
      </c>
      <c r="D311" s="7" t="str">
        <f t="shared" si="15"/>
        <v>Entry</v>
      </c>
      <c r="E311" s="2">
        <v>589000</v>
      </c>
      <c r="F311" s="2">
        <v>78000</v>
      </c>
      <c r="G311" s="2">
        <v>20000</v>
      </c>
      <c r="H311" t="s">
        <v>10</v>
      </c>
      <c r="I311" s="2">
        <f t="shared" si="17"/>
        <v>667000</v>
      </c>
      <c r="J311" s="2">
        <f t="shared" si="16"/>
        <v>687000</v>
      </c>
    </row>
    <row r="312" spans="1:10">
      <c r="A312" s="7" t="s">
        <v>339</v>
      </c>
      <c r="B312" s="7" t="s">
        <v>273</v>
      </c>
      <c r="C312" t="s">
        <v>276</v>
      </c>
      <c r="D312" s="7" t="str">
        <f t="shared" si="15"/>
        <v>Mid</v>
      </c>
      <c r="E312" s="2">
        <v>629000</v>
      </c>
      <c r="F312" s="2">
        <v>88000</v>
      </c>
      <c r="G312" s="2">
        <v>35000</v>
      </c>
      <c r="H312" t="s">
        <v>10</v>
      </c>
      <c r="I312" s="2">
        <f t="shared" si="17"/>
        <v>717000</v>
      </c>
      <c r="J312" s="2">
        <f t="shared" si="16"/>
        <v>752000</v>
      </c>
    </row>
    <row r="313" spans="1:10">
      <c r="A313" s="7" t="s">
        <v>340</v>
      </c>
      <c r="B313" s="7" t="s">
        <v>273</v>
      </c>
      <c r="C313" t="s">
        <v>290</v>
      </c>
      <c r="D313" s="7" t="str">
        <f t="shared" si="15"/>
        <v>Senior</v>
      </c>
      <c r="E313" s="2">
        <v>919000</v>
      </c>
      <c r="F313" s="2">
        <v>95000</v>
      </c>
      <c r="G313" s="2">
        <v>28000</v>
      </c>
      <c r="H313" t="s">
        <v>10</v>
      </c>
      <c r="I313" s="2">
        <f t="shared" si="17"/>
        <v>1014000</v>
      </c>
      <c r="J313" s="2">
        <f t="shared" si="16"/>
        <v>1042000</v>
      </c>
    </row>
    <row r="314" spans="1:10">
      <c r="A314" s="7" t="s">
        <v>341</v>
      </c>
      <c r="B314" s="7" t="s">
        <v>273</v>
      </c>
      <c r="C314" t="s">
        <v>274</v>
      </c>
      <c r="D314" s="7" t="str">
        <f t="shared" si="15"/>
        <v>Senior</v>
      </c>
      <c r="E314" s="2">
        <v>997000</v>
      </c>
      <c r="F314" s="2">
        <v>113000</v>
      </c>
      <c r="G314" s="2">
        <v>20000</v>
      </c>
      <c r="H314" t="s">
        <v>10</v>
      </c>
      <c r="I314" s="2">
        <f t="shared" si="17"/>
        <v>1110000</v>
      </c>
      <c r="J314" s="2">
        <f t="shared" si="16"/>
        <v>1130000</v>
      </c>
    </row>
    <row r="315" spans="1:10">
      <c r="A315" s="7" t="s">
        <v>342</v>
      </c>
      <c r="B315" s="7" t="s">
        <v>273</v>
      </c>
      <c r="C315" t="s">
        <v>276</v>
      </c>
      <c r="D315" s="7" t="str">
        <f t="shared" si="15"/>
        <v>Mid</v>
      </c>
      <c r="E315" s="2">
        <v>657000</v>
      </c>
      <c r="F315" s="2">
        <v>89000</v>
      </c>
      <c r="G315" s="2">
        <v>18000</v>
      </c>
      <c r="H315" t="s">
        <v>10</v>
      </c>
      <c r="I315" s="2">
        <f t="shared" si="17"/>
        <v>746000</v>
      </c>
      <c r="J315" s="2">
        <f t="shared" si="16"/>
        <v>764000</v>
      </c>
    </row>
    <row r="316" spans="1:10">
      <c r="A316" s="7" t="s">
        <v>343</v>
      </c>
      <c r="B316" s="7" t="s">
        <v>273</v>
      </c>
      <c r="C316" t="s">
        <v>276</v>
      </c>
      <c r="D316" s="7" t="str">
        <f t="shared" si="15"/>
        <v>Mid</v>
      </c>
      <c r="E316" s="2">
        <v>608000</v>
      </c>
      <c r="F316" s="2">
        <v>84000</v>
      </c>
      <c r="G316" s="2">
        <v>22000</v>
      </c>
      <c r="H316" t="s">
        <v>10</v>
      </c>
      <c r="I316" s="2">
        <f t="shared" si="17"/>
        <v>692000</v>
      </c>
      <c r="J316" s="2">
        <f t="shared" si="16"/>
        <v>714000</v>
      </c>
    </row>
    <row r="317" spans="1:10">
      <c r="A317" s="7" t="s">
        <v>344</v>
      </c>
      <c r="B317" s="7" t="s">
        <v>273</v>
      </c>
      <c r="C317" t="s">
        <v>288</v>
      </c>
      <c r="D317" s="7" t="str">
        <f t="shared" si="15"/>
        <v>Mid</v>
      </c>
      <c r="E317" s="2">
        <v>856000</v>
      </c>
      <c r="F317" s="2">
        <v>115000</v>
      </c>
      <c r="G317" s="2">
        <v>25000</v>
      </c>
      <c r="H317" t="s">
        <v>10</v>
      </c>
      <c r="I317" s="2">
        <f t="shared" si="17"/>
        <v>971000</v>
      </c>
      <c r="J317" s="2">
        <f t="shared" si="16"/>
        <v>996000</v>
      </c>
    </row>
    <row r="318" spans="1:10">
      <c r="A318" s="7" t="s">
        <v>345</v>
      </c>
      <c r="B318" s="7" t="s">
        <v>273</v>
      </c>
      <c r="C318" t="s">
        <v>333</v>
      </c>
      <c r="D318" s="7" t="str">
        <f t="shared" si="15"/>
        <v>Leadership</v>
      </c>
      <c r="E318" s="2">
        <v>1200000</v>
      </c>
      <c r="F318" s="2">
        <v>150000</v>
      </c>
      <c r="G318" s="2">
        <v>18000</v>
      </c>
      <c r="H318" t="s">
        <v>10</v>
      </c>
      <c r="I318" s="2">
        <f t="shared" si="17"/>
        <v>1350000</v>
      </c>
      <c r="J318" s="2">
        <f t="shared" si="16"/>
        <v>1368000</v>
      </c>
    </row>
    <row r="319" spans="1:10">
      <c r="A319" s="7" t="s">
        <v>346</v>
      </c>
      <c r="B319" s="7" t="s">
        <v>273</v>
      </c>
      <c r="C319" t="s">
        <v>276</v>
      </c>
      <c r="D319" s="7" t="str">
        <f t="shared" si="15"/>
        <v>Mid</v>
      </c>
      <c r="E319" s="2">
        <v>720000</v>
      </c>
      <c r="F319" s="2">
        <v>76000</v>
      </c>
      <c r="G319" s="2">
        <v>28000</v>
      </c>
      <c r="H319" t="s">
        <v>10</v>
      </c>
      <c r="I319" s="2">
        <f t="shared" si="17"/>
        <v>796000</v>
      </c>
      <c r="J319" s="2">
        <f t="shared" si="16"/>
        <v>824000</v>
      </c>
    </row>
    <row r="320" spans="1:10">
      <c r="A320" s="7" t="s">
        <v>347</v>
      </c>
      <c r="B320" s="7" t="s">
        <v>273</v>
      </c>
      <c r="C320" t="s">
        <v>278</v>
      </c>
      <c r="D320" s="7" t="str">
        <f t="shared" si="15"/>
        <v>Entry</v>
      </c>
      <c r="E320" s="2">
        <v>649000</v>
      </c>
      <c r="F320" s="2">
        <v>66000</v>
      </c>
      <c r="G320" s="2">
        <v>15000</v>
      </c>
      <c r="H320" t="s">
        <v>10</v>
      </c>
      <c r="I320" s="2">
        <f t="shared" si="17"/>
        <v>715000</v>
      </c>
      <c r="J320" s="2">
        <f t="shared" si="16"/>
        <v>730000</v>
      </c>
    </row>
    <row r="321" spans="1:10">
      <c r="A321" s="7" t="s">
        <v>348</v>
      </c>
      <c r="B321" s="7" t="s">
        <v>273</v>
      </c>
      <c r="C321" t="s">
        <v>290</v>
      </c>
      <c r="D321" s="7" t="str">
        <f t="shared" si="15"/>
        <v>Senior</v>
      </c>
      <c r="E321" s="2">
        <v>814000</v>
      </c>
      <c r="F321" s="2">
        <v>88000</v>
      </c>
      <c r="G321" s="2">
        <v>30000</v>
      </c>
      <c r="H321" t="s">
        <v>10</v>
      </c>
      <c r="I321" s="2">
        <f t="shared" si="17"/>
        <v>902000</v>
      </c>
      <c r="J321" s="2">
        <f t="shared" si="16"/>
        <v>932000</v>
      </c>
    </row>
    <row r="322" spans="1:10">
      <c r="A322" s="7" t="s">
        <v>349</v>
      </c>
      <c r="B322" s="7" t="s">
        <v>273</v>
      </c>
      <c r="C322" t="s">
        <v>276</v>
      </c>
      <c r="D322" s="7" t="str">
        <f t="shared" si="15"/>
        <v>Mid</v>
      </c>
      <c r="E322" s="2">
        <v>712000</v>
      </c>
      <c r="F322" s="2">
        <v>87000</v>
      </c>
      <c r="G322" s="2">
        <v>25000</v>
      </c>
      <c r="H322" t="s">
        <v>10</v>
      </c>
      <c r="I322" s="2">
        <f t="shared" si="17"/>
        <v>799000</v>
      </c>
      <c r="J322" s="2">
        <f t="shared" si="16"/>
        <v>824000</v>
      </c>
    </row>
    <row r="323" spans="1:10">
      <c r="A323" s="7" t="s">
        <v>350</v>
      </c>
      <c r="B323" s="7" t="s">
        <v>273</v>
      </c>
      <c r="C323" t="s">
        <v>290</v>
      </c>
      <c r="D323" s="7" t="str">
        <f t="shared" ref="D323:D386" si="18">IF(OR(ISNUMBER(SEARCH("Manager",C323)),ISNUMBER(SEARCH("Controller",C323))),"Leadership",IF(OR(ISNUMBER(SEARCH("Senior",C323)),ISNUMBER(SEARCH("Regional",C323))),"Senior",IF(OR(ISNUMBER(SEARCH("Engineer",C323)),ISNUMBER(SEARCH("Analyst",C323)),ISNUMBER(SEARCH("Specialist",C323)),ISNUMBER(SEARCH("Business Partner",C323)),ISNUMBER(SEARCH("Account Manager",C323))),"Mid","Entry")))</f>
        <v>Senior</v>
      </c>
      <c r="E323" s="2">
        <v>893000</v>
      </c>
      <c r="F323" s="2">
        <v>100000</v>
      </c>
      <c r="G323" s="2">
        <v>18000</v>
      </c>
      <c r="H323" t="s">
        <v>10</v>
      </c>
      <c r="I323" s="2">
        <f t="shared" si="17"/>
        <v>993000</v>
      </c>
      <c r="J323" s="2">
        <f t="shared" ref="J323:J386" si="19">I323+G323</f>
        <v>1011000</v>
      </c>
    </row>
    <row r="324" spans="1:10">
      <c r="A324" s="7" t="s">
        <v>351</v>
      </c>
      <c r="B324" s="7" t="s">
        <v>273</v>
      </c>
      <c r="C324" t="s">
        <v>276</v>
      </c>
      <c r="D324" s="7" t="str">
        <f t="shared" si="18"/>
        <v>Mid</v>
      </c>
      <c r="E324" s="2">
        <v>644000</v>
      </c>
      <c r="F324" s="2">
        <v>76000</v>
      </c>
      <c r="G324" s="2">
        <v>28000</v>
      </c>
      <c r="H324" t="s">
        <v>10</v>
      </c>
      <c r="I324" s="2">
        <f t="shared" si="17"/>
        <v>720000</v>
      </c>
      <c r="J324" s="2">
        <f t="shared" si="19"/>
        <v>748000</v>
      </c>
    </row>
    <row r="325" spans="1:10">
      <c r="A325" s="7" t="s">
        <v>352</v>
      </c>
      <c r="B325" s="7" t="s">
        <v>273</v>
      </c>
      <c r="C325" t="s">
        <v>276</v>
      </c>
      <c r="D325" s="7" t="str">
        <f t="shared" si="18"/>
        <v>Mid</v>
      </c>
      <c r="E325" s="2">
        <v>688000</v>
      </c>
      <c r="F325" s="2">
        <v>89000</v>
      </c>
      <c r="G325" s="2">
        <v>28000</v>
      </c>
      <c r="H325" t="s">
        <v>10</v>
      </c>
      <c r="I325" s="2">
        <f t="shared" si="17"/>
        <v>777000</v>
      </c>
      <c r="J325" s="2">
        <f t="shared" si="19"/>
        <v>805000</v>
      </c>
    </row>
    <row r="326" spans="1:10">
      <c r="A326" s="7" t="s">
        <v>353</v>
      </c>
      <c r="B326" s="7" t="s">
        <v>273</v>
      </c>
      <c r="C326" t="s">
        <v>276</v>
      </c>
      <c r="D326" s="7" t="str">
        <f t="shared" si="18"/>
        <v>Mid</v>
      </c>
      <c r="E326" s="2">
        <v>638000</v>
      </c>
      <c r="F326" s="2">
        <v>78000</v>
      </c>
      <c r="G326" s="2">
        <v>28000</v>
      </c>
      <c r="H326" t="s">
        <v>10</v>
      </c>
      <c r="I326" s="2">
        <f t="shared" si="17"/>
        <v>716000</v>
      </c>
      <c r="J326" s="2">
        <f t="shared" si="19"/>
        <v>744000</v>
      </c>
    </row>
    <row r="327" spans="1:10">
      <c r="A327" s="7" t="s">
        <v>354</v>
      </c>
      <c r="B327" s="7" t="s">
        <v>355</v>
      </c>
      <c r="C327" t="s">
        <v>356</v>
      </c>
      <c r="D327" s="7" t="str">
        <f t="shared" si="18"/>
        <v>Entry</v>
      </c>
      <c r="E327" s="2">
        <v>549000</v>
      </c>
      <c r="F327" s="2">
        <v>58000</v>
      </c>
      <c r="G327" s="2">
        <v>15000</v>
      </c>
      <c r="H327" t="s">
        <v>10</v>
      </c>
      <c r="I327" s="2">
        <f t="shared" si="17"/>
        <v>607000</v>
      </c>
      <c r="J327" s="2">
        <f t="shared" si="19"/>
        <v>622000</v>
      </c>
    </row>
    <row r="328" spans="1:10">
      <c r="A328" s="7" t="s">
        <v>357</v>
      </c>
      <c r="B328" s="7" t="s">
        <v>355</v>
      </c>
      <c r="C328" t="s">
        <v>358</v>
      </c>
      <c r="D328" s="7" t="str">
        <f t="shared" si="18"/>
        <v>Mid</v>
      </c>
      <c r="E328" s="2">
        <v>673000</v>
      </c>
      <c r="F328" s="2">
        <v>74000</v>
      </c>
      <c r="G328" s="2">
        <v>20000</v>
      </c>
      <c r="H328" t="s">
        <v>10</v>
      </c>
      <c r="I328" s="2">
        <f t="shared" si="17"/>
        <v>747000</v>
      </c>
      <c r="J328" s="2">
        <f t="shared" si="19"/>
        <v>767000</v>
      </c>
    </row>
    <row r="329" spans="1:10">
      <c r="A329" s="7" t="s">
        <v>359</v>
      </c>
      <c r="B329" s="7" t="s">
        <v>355</v>
      </c>
      <c r="C329" t="s">
        <v>360</v>
      </c>
      <c r="D329" s="7" t="str">
        <f t="shared" si="18"/>
        <v>Mid</v>
      </c>
      <c r="E329" s="2">
        <v>1006000</v>
      </c>
      <c r="F329" s="2">
        <v>108000</v>
      </c>
      <c r="G329" s="2">
        <v>20000</v>
      </c>
      <c r="H329" t="s">
        <v>10</v>
      </c>
      <c r="I329" s="2">
        <f t="shared" si="17"/>
        <v>1114000</v>
      </c>
      <c r="J329" s="2">
        <f t="shared" si="19"/>
        <v>1134000</v>
      </c>
    </row>
    <row r="330" spans="1:10">
      <c r="A330" s="7" t="s">
        <v>361</v>
      </c>
      <c r="B330" s="7" t="s">
        <v>355</v>
      </c>
      <c r="C330" t="s">
        <v>358</v>
      </c>
      <c r="D330" s="7" t="str">
        <f t="shared" si="18"/>
        <v>Mid</v>
      </c>
      <c r="E330" s="2">
        <v>656000</v>
      </c>
      <c r="F330" s="2">
        <v>74000</v>
      </c>
      <c r="G330" s="2">
        <v>15000</v>
      </c>
      <c r="H330" t="s">
        <v>10</v>
      </c>
      <c r="I330" s="2">
        <f t="shared" si="17"/>
        <v>730000</v>
      </c>
      <c r="J330" s="2">
        <f t="shared" si="19"/>
        <v>745000</v>
      </c>
    </row>
    <row r="331" spans="1:10">
      <c r="A331" s="7" t="s">
        <v>362</v>
      </c>
      <c r="B331" s="7" t="s">
        <v>355</v>
      </c>
      <c r="C331" t="s">
        <v>358</v>
      </c>
      <c r="D331" s="7" t="str">
        <f t="shared" si="18"/>
        <v>Mid</v>
      </c>
      <c r="E331" s="2">
        <v>650000</v>
      </c>
      <c r="F331" s="2">
        <v>71000</v>
      </c>
      <c r="G331" s="2">
        <v>28000</v>
      </c>
      <c r="H331" t="s">
        <v>13</v>
      </c>
      <c r="I331" s="2">
        <f t="shared" si="17"/>
        <v>721000</v>
      </c>
      <c r="J331" s="2">
        <f t="shared" si="19"/>
        <v>749000</v>
      </c>
    </row>
    <row r="332" spans="1:10">
      <c r="A332" s="7" t="s">
        <v>363</v>
      </c>
      <c r="B332" s="7" t="s">
        <v>355</v>
      </c>
      <c r="C332" t="s">
        <v>356</v>
      </c>
      <c r="D332" s="7" t="str">
        <f t="shared" si="18"/>
        <v>Entry</v>
      </c>
      <c r="E332" s="2">
        <v>567000</v>
      </c>
      <c r="F332" s="2">
        <v>76000</v>
      </c>
      <c r="G332" s="2">
        <v>35000</v>
      </c>
      <c r="H332" t="s">
        <v>10</v>
      </c>
      <c r="I332" s="2">
        <f t="shared" si="17"/>
        <v>643000</v>
      </c>
      <c r="J332" s="2">
        <f t="shared" si="19"/>
        <v>678000</v>
      </c>
    </row>
    <row r="333" spans="1:10">
      <c r="A333" s="7" t="s">
        <v>364</v>
      </c>
      <c r="B333" s="7" t="s">
        <v>355</v>
      </c>
      <c r="C333" t="s">
        <v>356</v>
      </c>
      <c r="D333" s="7" t="str">
        <f t="shared" si="18"/>
        <v>Entry</v>
      </c>
      <c r="E333" s="2">
        <v>508000</v>
      </c>
      <c r="F333" s="2">
        <v>54000</v>
      </c>
      <c r="G333" s="2">
        <v>25000</v>
      </c>
      <c r="H333" t="s">
        <v>10</v>
      </c>
      <c r="I333" s="2">
        <f t="shared" si="17"/>
        <v>562000</v>
      </c>
      <c r="J333" s="2">
        <f t="shared" si="19"/>
        <v>587000</v>
      </c>
    </row>
    <row r="334" spans="1:10">
      <c r="A334" s="7" t="s">
        <v>365</v>
      </c>
      <c r="B334" s="7" t="s">
        <v>355</v>
      </c>
      <c r="C334" t="s">
        <v>366</v>
      </c>
      <c r="D334" s="7" t="str">
        <f t="shared" si="18"/>
        <v>Entry</v>
      </c>
      <c r="E334" s="2">
        <v>588000</v>
      </c>
      <c r="F334" s="2">
        <v>68000</v>
      </c>
      <c r="G334" s="2">
        <v>22000</v>
      </c>
      <c r="H334" t="s">
        <v>10</v>
      </c>
      <c r="I334" s="2">
        <f t="shared" si="17"/>
        <v>656000</v>
      </c>
      <c r="J334" s="2">
        <f t="shared" si="19"/>
        <v>678000</v>
      </c>
    </row>
    <row r="335" spans="1:10">
      <c r="A335" s="7" t="s">
        <v>367</v>
      </c>
      <c r="B335" s="7" t="s">
        <v>355</v>
      </c>
      <c r="C335" t="s">
        <v>356</v>
      </c>
      <c r="D335" s="7" t="str">
        <f t="shared" si="18"/>
        <v>Entry</v>
      </c>
      <c r="E335" s="2">
        <v>542000</v>
      </c>
      <c r="F335" s="2">
        <v>64000</v>
      </c>
      <c r="G335" s="2">
        <v>25000</v>
      </c>
      <c r="H335" t="s">
        <v>10</v>
      </c>
      <c r="I335" s="2">
        <f t="shared" si="17"/>
        <v>606000</v>
      </c>
      <c r="J335" s="2">
        <f t="shared" si="19"/>
        <v>631000</v>
      </c>
    </row>
    <row r="336" spans="1:10">
      <c r="A336" s="7" t="s">
        <v>368</v>
      </c>
      <c r="B336" s="7" t="s">
        <v>355</v>
      </c>
      <c r="C336" t="s">
        <v>366</v>
      </c>
      <c r="D336" s="7" t="str">
        <f t="shared" si="18"/>
        <v>Entry</v>
      </c>
      <c r="E336" s="2">
        <v>621000</v>
      </c>
      <c r="F336" s="2">
        <v>65000</v>
      </c>
      <c r="G336" s="2">
        <v>18000</v>
      </c>
      <c r="H336" t="s">
        <v>10</v>
      </c>
      <c r="I336" s="2">
        <f t="shared" ref="I336:I399" si="20">E336+F336</f>
        <v>686000</v>
      </c>
      <c r="J336" s="2">
        <f t="shared" si="19"/>
        <v>704000</v>
      </c>
    </row>
    <row r="337" spans="1:10">
      <c r="A337" s="7" t="s">
        <v>369</v>
      </c>
      <c r="B337" s="7" t="s">
        <v>355</v>
      </c>
      <c r="C337" t="s">
        <v>370</v>
      </c>
      <c r="D337" s="7" t="str">
        <f t="shared" si="18"/>
        <v>Mid</v>
      </c>
      <c r="E337" s="2">
        <v>760000</v>
      </c>
      <c r="F337" s="2">
        <v>105000</v>
      </c>
      <c r="G337" s="2">
        <v>20000</v>
      </c>
      <c r="H337" t="s">
        <v>10</v>
      </c>
      <c r="I337" s="2">
        <f t="shared" si="20"/>
        <v>865000</v>
      </c>
      <c r="J337" s="2">
        <f t="shared" si="19"/>
        <v>885000</v>
      </c>
    </row>
    <row r="338" spans="1:10">
      <c r="A338" s="7" t="s">
        <v>371</v>
      </c>
      <c r="B338" s="7" t="s">
        <v>355</v>
      </c>
      <c r="C338" t="s">
        <v>358</v>
      </c>
      <c r="D338" s="7" t="str">
        <f t="shared" si="18"/>
        <v>Mid</v>
      </c>
      <c r="E338" s="2">
        <v>657000</v>
      </c>
      <c r="F338" s="2">
        <v>67000</v>
      </c>
      <c r="G338" s="2">
        <v>20000</v>
      </c>
      <c r="H338" t="s">
        <v>10</v>
      </c>
      <c r="I338" s="2">
        <f t="shared" si="20"/>
        <v>724000</v>
      </c>
      <c r="J338" s="2">
        <f t="shared" si="19"/>
        <v>744000</v>
      </c>
    </row>
    <row r="339" spans="1:10">
      <c r="A339" s="7" t="s">
        <v>372</v>
      </c>
      <c r="B339" s="7" t="s">
        <v>355</v>
      </c>
      <c r="C339" t="s">
        <v>370</v>
      </c>
      <c r="D339" s="7" t="str">
        <f t="shared" si="18"/>
        <v>Mid</v>
      </c>
      <c r="E339" s="2">
        <v>791000</v>
      </c>
      <c r="F339" s="2">
        <v>84000</v>
      </c>
      <c r="G339" s="2">
        <v>20000</v>
      </c>
      <c r="H339" t="s">
        <v>10</v>
      </c>
      <c r="I339" s="2">
        <f t="shared" si="20"/>
        <v>875000</v>
      </c>
      <c r="J339" s="2">
        <f t="shared" si="19"/>
        <v>895000</v>
      </c>
    </row>
    <row r="340" spans="1:10">
      <c r="A340" s="7" t="s">
        <v>373</v>
      </c>
      <c r="B340" s="7" t="s">
        <v>355</v>
      </c>
      <c r="C340" t="s">
        <v>366</v>
      </c>
      <c r="D340" s="7" t="str">
        <f t="shared" si="18"/>
        <v>Entry</v>
      </c>
      <c r="E340" s="2">
        <v>561000</v>
      </c>
      <c r="F340" s="2">
        <v>78000</v>
      </c>
      <c r="G340" s="2">
        <v>25000</v>
      </c>
      <c r="H340" t="s">
        <v>10</v>
      </c>
      <c r="I340" s="2">
        <f t="shared" si="20"/>
        <v>639000</v>
      </c>
      <c r="J340" s="2">
        <f t="shared" si="19"/>
        <v>664000</v>
      </c>
    </row>
    <row r="341" spans="1:10">
      <c r="A341" s="7" t="s">
        <v>374</v>
      </c>
      <c r="B341" s="7" t="s">
        <v>355</v>
      </c>
      <c r="C341" t="s">
        <v>358</v>
      </c>
      <c r="D341" s="7" t="str">
        <f t="shared" si="18"/>
        <v>Mid</v>
      </c>
      <c r="E341" s="2">
        <v>658000</v>
      </c>
      <c r="F341" s="2">
        <v>79000</v>
      </c>
      <c r="G341" s="2">
        <v>25000</v>
      </c>
      <c r="H341" t="s">
        <v>10</v>
      </c>
      <c r="I341" s="2">
        <f t="shared" si="20"/>
        <v>737000</v>
      </c>
      <c r="J341" s="2">
        <f t="shared" si="19"/>
        <v>762000</v>
      </c>
    </row>
    <row r="342" spans="1:10">
      <c r="A342" s="7" t="s">
        <v>375</v>
      </c>
      <c r="B342" s="7" t="s">
        <v>355</v>
      </c>
      <c r="C342" t="s">
        <v>356</v>
      </c>
      <c r="D342" s="7" t="str">
        <f t="shared" si="18"/>
        <v>Entry</v>
      </c>
      <c r="E342" s="2">
        <v>535000</v>
      </c>
      <c r="F342" s="2">
        <v>56000</v>
      </c>
      <c r="G342" s="2">
        <v>30000</v>
      </c>
      <c r="H342" t="s">
        <v>10</v>
      </c>
      <c r="I342" s="2">
        <f t="shared" si="20"/>
        <v>591000</v>
      </c>
      <c r="J342" s="2">
        <f t="shared" si="19"/>
        <v>621000</v>
      </c>
    </row>
    <row r="343" spans="1:10">
      <c r="A343" s="7" t="s">
        <v>376</v>
      </c>
      <c r="B343" s="7" t="s">
        <v>355</v>
      </c>
      <c r="C343" t="s">
        <v>370</v>
      </c>
      <c r="D343" s="7" t="str">
        <f t="shared" si="18"/>
        <v>Mid</v>
      </c>
      <c r="E343" s="2">
        <v>826000</v>
      </c>
      <c r="F343" s="2">
        <v>105000</v>
      </c>
      <c r="G343" s="2">
        <v>15000</v>
      </c>
      <c r="H343" t="s">
        <v>10</v>
      </c>
      <c r="I343" s="2">
        <f t="shared" si="20"/>
        <v>931000</v>
      </c>
      <c r="J343" s="2">
        <f t="shared" si="19"/>
        <v>946000</v>
      </c>
    </row>
    <row r="344" spans="1:10">
      <c r="A344" s="7" t="s">
        <v>377</v>
      </c>
      <c r="B344" s="7" t="s">
        <v>355</v>
      </c>
      <c r="C344" t="s">
        <v>356</v>
      </c>
      <c r="D344" s="7" t="str">
        <f t="shared" si="18"/>
        <v>Entry</v>
      </c>
      <c r="E344" s="2">
        <v>574000</v>
      </c>
      <c r="F344" s="2">
        <v>80000</v>
      </c>
      <c r="G344" s="2">
        <v>22000</v>
      </c>
      <c r="H344" t="s">
        <v>10</v>
      </c>
      <c r="I344" s="2">
        <f t="shared" si="20"/>
        <v>654000</v>
      </c>
      <c r="J344" s="2">
        <f t="shared" si="19"/>
        <v>676000</v>
      </c>
    </row>
    <row r="345" spans="1:10">
      <c r="A345" s="7" t="s">
        <v>378</v>
      </c>
      <c r="B345" s="7" t="s">
        <v>355</v>
      </c>
      <c r="C345" t="s">
        <v>358</v>
      </c>
      <c r="D345" s="7" t="str">
        <f t="shared" si="18"/>
        <v>Mid</v>
      </c>
      <c r="E345" s="2">
        <v>609000</v>
      </c>
      <c r="F345" s="2">
        <v>76000</v>
      </c>
      <c r="G345" s="2">
        <v>30000</v>
      </c>
      <c r="H345" t="s">
        <v>10</v>
      </c>
      <c r="I345" s="2">
        <f t="shared" si="20"/>
        <v>685000</v>
      </c>
      <c r="J345" s="2">
        <f t="shared" si="19"/>
        <v>715000</v>
      </c>
    </row>
    <row r="346" spans="1:10">
      <c r="A346" s="7" t="s">
        <v>379</v>
      </c>
      <c r="B346" s="7" t="s">
        <v>355</v>
      </c>
      <c r="C346" t="s">
        <v>366</v>
      </c>
      <c r="D346" s="7" t="str">
        <f t="shared" si="18"/>
        <v>Entry</v>
      </c>
      <c r="E346" s="2">
        <v>544000</v>
      </c>
      <c r="F346" s="2">
        <v>75000</v>
      </c>
      <c r="G346" s="2">
        <v>18000</v>
      </c>
      <c r="H346" t="s">
        <v>10</v>
      </c>
      <c r="I346" s="2">
        <f t="shared" si="20"/>
        <v>619000</v>
      </c>
      <c r="J346" s="2">
        <f t="shared" si="19"/>
        <v>637000</v>
      </c>
    </row>
    <row r="347" spans="1:10">
      <c r="A347" s="7" t="s">
        <v>380</v>
      </c>
      <c r="B347" s="7" t="s">
        <v>355</v>
      </c>
      <c r="C347" t="s">
        <v>358</v>
      </c>
      <c r="D347" s="7" t="str">
        <f t="shared" si="18"/>
        <v>Mid</v>
      </c>
      <c r="E347" s="2">
        <v>645000</v>
      </c>
      <c r="F347" s="2">
        <v>75000</v>
      </c>
      <c r="G347" s="2">
        <v>22000</v>
      </c>
      <c r="H347" t="s">
        <v>10</v>
      </c>
      <c r="I347" s="2">
        <f t="shared" si="20"/>
        <v>720000</v>
      </c>
      <c r="J347" s="2">
        <f t="shared" si="19"/>
        <v>742000</v>
      </c>
    </row>
    <row r="348" spans="1:10">
      <c r="A348" s="7" t="s">
        <v>381</v>
      </c>
      <c r="B348" s="7" t="s">
        <v>355</v>
      </c>
      <c r="C348" t="s">
        <v>366</v>
      </c>
      <c r="D348" s="7" t="str">
        <f t="shared" si="18"/>
        <v>Entry</v>
      </c>
      <c r="E348" s="2">
        <v>662000</v>
      </c>
      <c r="F348" s="2">
        <v>89000</v>
      </c>
      <c r="G348" s="2">
        <v>15000</v>
      </c>
      <c r="H348" t="s">
        <v>10</v>
      </c>
      <c r="I348" s="2">
        <f t="shared" si="20"/>
        <v>751000</v>
      </c>
      <c r="J348" s="2">
        <f t="shared" si="19"/>
        <v>766000</v>
      </c>
    </row>
    <row r="349" spans="1:10">
      <c r="A349" s="7" t="s">
        <v>382</v>
      </c>
      <c r="B349" s="7" t="s">
        <v>355</v>
      </c>
      <c r="C349" t="s">
        <v>358</v>
      </c>
      <c r="D349" s="7" t="str">
        <f t="shared" si="18"/>
        <v>Mid</v>
      </c>
      <c r="E349" s="2">
        <v>665000</v>
      </c>
      <c r="F349" s="2">
        <v>93000</v>
      </c>
      <c r="G349" s="2">
        <v>35000</v>
      </c>
      <c r="H349" t="s">
        <v>10</v>
      </c>
      <c r="I349" s="2">
        <f t="shared" si="20"/>
        <v>758000</v>
      </c>
      <c r="J349" s="2">
        <f t="shared" si="19"/>
        <v>793000</v>
      </c>
    </row>
    <row r="350" spans="1:10">
      <c r="A350" s="7" t="s">
        <v>383</v>
      </c>
      <c r="B350" s="7" t="s">
        <v>355</v>
      </c>
      <c r="C350" t="s">
        <v>356</v>
      </c>
      <c r="D350" s="7" t="str">
        <f t="shared" si="18"/>
        <v>Entry</v>
      </c>
      <c r="E350" s="2">
        <v>516000</v>
      </c>
      <c r="F350" s="2">
        <v>70000</v>
      </c>
      <c r="G350" s="2">
        <v>28000</v>
      </c>
      <c r="H350" t="s">
        <v>10</v>
      </c>
      <c r="I350" s="2">
        <f t="shared" si="20"/>
        <v>586000</v>
      </c>
      <c r="J350" s="2">
        <f t="shared" si="19"/>
        <v>614000</v>
      </c>
    </row>
    <row r="351" spans="1:10">
      <c r="A351" s="7" t="s">
        <v>384</v>
      </c>
      <c r="B351" s="7" t="s">
        <v>355</v>
      </c>
      <c r="C351" t="s">
        <v>366</v>
      </c>
      <c r="D351" s="7" t="str">
        <f t="shared" si="18"/>
        <v>Entry</v>
      </c>
      <c r="E351" s="2">
        <v>655000</v>
      </c>
      <c r="F351" s="2">
        <v>83000</v>
      </c>
      <c r="G351" s="2">
        <v>25000</v>
      </c>
      <c r="H351" t="s">
        <v>10</v>
      </c>
      <c r="I351" s="2">
        <f t="shared" si="20"/>
        <v>738000</v>
      </c>
      <c r="J351" s="2">
        <f t="shared" si="19"/>
        <v>763000</v>
      </c>
    </row>
    <row r="352" spans="1:10">
      <c r="A352" s="7" t="s">
        <v>385</v>
      </c>
      <c r="B352" s="7" t="s">
        <v>355</v>
      </c>
      <c r="C352" t="s">
        <v>356</v>
      </c>
      <c r="D352" s="7" t="str">
        <f t="shared" si="18"/>
        <v>Entry</v>
      </c>
      <c r="E352" s="2">
        <v>525000</v>
      </c>
      <c r="F352" s="2">
        <v>64000</v>
      </c>
      <c r="G352" s="2">
        <v>22000</v>
      </c>
      <c r="H352" t="s">
        <v>10</v>
      </c>
      <c r="I352" s="2">
        <f t="shared" si="20"/>
        <v>589000</v>
      </c>
      <c r="J352" s="2">
        <f t="shared" si="19"/>
        <v>611000</v>
      </c>
    </row>
    <row r="353" spans="1:10">
      <c r="A353" s="7" t="s">
        <v>386</v>
      </c>
      <c r="B353" s="7" t="s">
        <v>355</v>
      </c>
      <c r="C353" t="s">
        <v>387</v>
      </c>
      <c r="D353" s="7" t="str">
        <f t="shared" si="18"/>
        <v>Leadership</v>
      </c>
      <c r="E353" s="2">
        <v>1230000</v>
      </c>
      <c r="F353" s="2">
        <v>158000</v>
      </c>
      <c r="G353" s="2">
        <v>35000</v>
      </c>
      <c r="H353" t="s">
        <v>10</v>
      </c>
      <c r="I353" s="2">
        <f t="shared" si="20"/>
        <v>1388000</v>
      </c>
      <c r="J353" s="2">
        <f t="shared" si="19"/>
        <v>1423000</v>
      </c>
    </row>
    <row r="354" spans="1:10">
      <c r="A354" s="7" t="s">
        <v>388</v>
      </c>
      <c r="B354" s="7" t="s">
        <v>355</v>
      </c>
      <c r="C354" t="s">
        <v>356</v>
      </c>
      <c r="D354" s="7" t="str">
        <f t="shared" si="18"/>
        <v>Entry</v>
      </c>
      <c r="E354" s="2">
        <v>608000</v>
      </c>
      <c r="F354" s="2">
        <v>80000</v>
      </c>
      <c r="G354" s="2">
        <v>25000</v>
      </c>
      <c r="H354" t="s">
        <v>10</v>
      </c>
      <c r="I354" s="2">
        <f t="shared" si="20"/>
        <v>688000</v>
      </c>
      <c r="J354" s="2">
        <f t="shared" si="19"/>
        <v>713000</v>
      </c>
    </row>
    <row r="355" spans="1:10">
      <c r="A355" s="7" t="s">
        <v>389</v>
      </c>
      <c r="B355" s="7" t="s">
        <v>355</v>
      </c>
      <c r="C355" t="s">
        <v>358</v>
      </c>
      <c r="D355" s="7" t="str">
        <f t="shared" si="18"/>
        <v>Mid</v>
      </c>
      <c r="E355" s="2">
        <v>663000</v>
      </c>
      <c r="F355" s="2">
        <v>90000</v>
      </c>
      <c r="G355" s="2">
        <v>30000</v>
      </c>
      <c r="H355" t="s">
        <v>10</v>
      </c>
      <c r="I355" s="2">
        <f t="shared" si="20"/>
        <v>753000</v>
      </c>
      <c r="J355" s="2">
        <f t="shared" si="19"/>
        <v>783000</v>
      </c>
    </row>
    <row r="356" spans="1:10">
      <c r="A356" s="7" t="s">
        <v>390</v>
      </c>
      <c r="B356" s="7" t="s">
        <v>355</v>
      </c>
      <c r="C356" t="s">
        <v>360</v>
      </c>
      <c r="D356" s="7" t="str">
        <f t="shared" si="18"/>
        <v>Mid</v>
      </c>
      <c r="E356" s="2">
        <v>1023000</v>
      </c>
      <c r="F356" s="2">
        <v>114000</v>
      </c>
      <c r="G356" s="2">
        <v>25000</v>
      </c>
      <c r="H356" t="s">
        <v>10</v>
      </c>
      <c r="I356" s="2">
        <f t="shared" si="20"/>
        <v>1137000</v>
      </c>
      <c r="J356" s="2">
        <f t="shared" si="19"/>
        <v>1162000</v>
      </c>
    </row>
    <row r="357" spans="1:10">
      <c r="A357" s="7" t="s">
        <v>391</v>
      </c>
      <c r="B357" s="7" t="s">
        <v>355</v>
      </c>
      <c r="C357" t="s">
        <v>356</v>
      </c>
      <c r="D357" s="7" t="str">
        <f t="shared" si="18"/>
        <v>Entry</v>
      </c>
      <c r="E357" s="2">
        <v>607000</v>
      </c>
      <c r="F357" s="2">
        <v>77000</v>
      </c>
      <c r="G357" s="2">
        <v>35000</v>
      </c>
      <c r="H357" t="s">
        <v>10</v>
      </c>
      <c r="I357" s="2">
        <f t="shared" si="20"/>
        <v>684000</v>
      </c>
      <c r="J357" s="2">
        <f t="shared" si="19"/>
        <v>719000</v>
      </c>
    </row>
    <row r="358" spans="1:10">
      <c r="A358" s="7" t="s">
        <v>392</v>
      </c>
      <c r="B358" s="7" t="s">
        <v>355</v>
      </c>
      <c r="C358" t="s">
        <v>370</v>
      </c>
      <c r="D358" s="7" t="str">
        <f t="shared" si="18"/>
        <v>Mid</v>
      </c>
      <c r="E358" s="2">
        <v>749000</v>
      </c>
      <c r="F358" s="2">
        <v>92000</v>
      </c>
      <c r="G358" s="2">
        <v>25000</v>
      </c>
      <c r="H358" t="s">
        <v>10</v>
      </c>
      <c r="I358" s="2">
        <f t="shared" si="20"/>
        <v>841000</v>
      </c>
      <c r="J358" s="2">
        <f t="shared" si="19"/>
        <v>866000</v>
      </c>
    </row>
    <row r="359" spans="1:10">
      <c r="A359" s="7" t="s">
        <v>393</v>
      </c>
      <c r="B359" s="7" t="s">
        <v>355</v>
      </c>
      <c r="C359" t="s">
        <v>366</v>
      </c>
      <c r="D359" s="7" t="str">
        <f t="shared" si="18"/>
        <v>Entry</v>
      </c>
      <c r="E359" s="2">
        <v>617000</v>
      </c>
      <c r="F359" s="2">
        <v>68000</v>
      </c>
      <c r="G359" s="2">
        <v>22000</v>
      </c>
      <c r="H359" t="s">
        <v>10</v>
      </c>
      <c r="I359" s="2">
        <f t="shared" si="20"/>
        <v>685000</v>
      </c>
      <c r="J359" s="2">
        <f t="shared" si="19"/>
        <v>707000</v>
      </c>
    </row>
    <row r="360" spans="1:10">
      <c r="A360" s="7" t="s">
        <v>394</v>
      </c>
      <c r="B360" s="7" t="s">
        <v>355</v>
      </c>
      <c r="C360" t="s">
        <v>356</v>
      </c>
      <c r="D360" s="7" t="str">
        <f t="shared" si="18"/>
        <v>Entry</v>
      </c>
      <c r="E360" s="2">
        <v>545000</v>
      </c>
      <c r="F360" s="2">
        <v>70000</v>
      </c>
      <c r="G360" s="2">
        <v>18000</v>
      </c>
      <c r="H360" t="s">
        <v>10</v>
      </c>
      <c r="I360" s="2">
        <f t="shared" si="20"/>
        <v>615000</v>
      </c>
      <c r="J360" s="2">
        <f t="shared" si="19"/>
        <v>633000</v>
      </c>
    </row>
    <row r="361" spans="1:10">
      <c r="A361" s="7" t="s">
        <v>395</v>
      </c>
      <c r="B361" s="7" t="s">
        <v>355</v>
      </c>
      <c r="C361" t="s">
        <v>356</v>
      </c>
      <c r="D361" s="7" t="str">
        <f t="shared" si="18"/>
        <v>Entry</v>
      </c>
      <c r="E361" s="2">
        <v>612000</v>
      </c>
      <c r="F361" s="2">
        <v>85000</v>
      </c>
      <c r="G361" s="2">
        <v>20000</v>
      </c>
      <c r="H361" t="s">
        <v>10</v>
      </c>
      <c r="I361" s="2">
        <f t="shared" si="20"/>
        <v>697000</v>
      </c>
      <c r="J361" s="2">
        <f t="shared" si="19"/>
        <v>717000</v>
      </c>
    </row>
    <row r="362" spans="1:10">
      <c r="A362" s="7" t="s">
        <v>396</v>
      </c>
      <c r="B362" s="7" t="s">
        <v>355</v>
      </c>
      <c r="C362" t="s">
        <v>360</v>
      </c>
      <c r="D362" s="7" t="str">
        <f t="shared" si="18"/>
        <v>Mid</v>
      </c>
      <c r="E362" s="2">
        <v>1039000</v>
      </c>
      <c r="F362" s="2">
        <v>124000</v>
      </c>
      <c r="G362" s="2">
        <v>22000</v>
      </c>
      <c r="H362" t="s">
        <v>10</v>
      </c>
      <c r="I362" s="2">
        <f t="shared" si="20"/>
        <v>1163000</v>
      </c>
      <c r="J362" s="2">
        <f t="shared" si="19"/>
        <v>1185000</v>
      </c>
    </row>
    <row r="363" spans="1:10">
      <c r="A363" s="7" t="s">
        <v>397</v>
      </c>
      <c r="B363" s="7" t="s">
        <v>355</v>
      </c>
      <c r="C363" t="s">
        <v>356</v>
      </c>
      <c r="D363" s="7" t="str">
        <f t="shared" si="18"/>
        <v>Entry</v>
      </c>
      <c r="E363" s="2">
        <v>530000</v>
      </c>
      <c r="F363" s="2">
        <v>54000</v>
      </c>
      <c r="G363" s="2">
        <v>18000</v>
      </c>
      <c r="H363" t="s">
        <v>10</v>
      </c>
      <c r="I363" s="2">
        <f t="shared" si="20"/>
        <v>584000</v>
      </c>
      <c r="J363" s="2">
        <f t="shared" si="19"/>
        <v>602000</v>
      </c>
    </row>
    <row r="364" spans="1:10">
      <c r="A364" s="7" t="s">
        <v>398</v>
      </c>
      <c r="B364" s="7" t="s">
        <v>355</v>
      </c>
      <c r="C364" t="s">
        <v>356</v>
      </c>
      <c r="D364" s="7" t="str">
        <f t="shared" si="18"/>
        <v>Entry</v>
      </c>
      <c r="E364" s="2">
        <v>584000</v>
      </c>
      <c r="F364" s="2">
        <v>78000</v>
      </c>
      <c r="G364" s="2">
        <v>15000</v>
      </c>
      <c r="H364" t="s">
        <v>10</v>
      </c>
      <c r="I364" s="2">
        <f t="shared" si="20"/>
        <v>662000</v>
      </c>
      <c r="J364" s="2">
        <f t="shared" si="19"/>
        <v>677000</v>
      </c>
    </row>
    <row r="365" spans="1:10">
      <c r="A365" s="7" t="s">
        <v>399</v>
      </c>
      <c r="B365" s="7" t="s">
        <v>355</v>
      </c>
      <c r="C365" t="s">
        <v>356</v>
      </c>
      <c r="D365" s="7" t="str">
        <f t="shared" si="18"/>
        <v>Entry</v>
      </c>
      <c r="E365" s="2">
        <v>602000</v>
      </c>
      <c r="F365" s="2">
        <v>64000</v>
      </c>
      <c r="G365" s="2">
        <v>15000</v>
      </c>
      <c r="H365" t="s">
        <v>10</v>
      </c>
      <c r="I365" s="2">
        <f t="shared" si="20"/>
        <v>666000</v>
      </c>
      <c r="J365" s="2">
        <f t="shared" si="19"/>
        <v>681000</v>
      </c>
    </row>
    <row r="366" spans="1:10">
      <c r="A366" s="7" t="s">
        <v>400</v>
      </c>
      <c r="B366" s="7" t="s">
        <v>355</v>
      </c>
      <c r="C366" t="s">
        <v>358</v>
      </c>
      <c r="D366" s="7" t="str">
        <f t="shared" si="18"/>
        <v>Mid</v>
      </c>
      <c r="E366" s="2">
        <v>656000</v>
      </c>
      <c r="F366" s="2">
        <v>90000</v>
      </c>
      <c r="G366" s="2">
        <v>25000</v>
      </c>
      <c r="H366" t="s">
        <v>10</v>
      </c>
      <c r="I366" s="2">
        <f t="shared" si="20"/>
        <v>746000</v>
      </c>
      <c r="J366" s="2">
        <f t="shared" si="19"/>
        <v>771000</v>
      </c>
    </row>
    <row r="367" spans="1:10">
      <c r="A367" s="7" t="s">
        <v>401</v>
      </c>
      <c r="B367" s="7" t="s">
        <v>355</v>
      </c>
      <c r="C367" t="s">
        <v>356</v>
      </c>
      <c r="D367" s="7" t="str">
        <f t="shared" si="18"/>
        <v>Entry</v>
      </c>
      <c r="E367" s="2">
        <v>564000</v>
      </c>
      <c r="F367" s="2">
        <v>59000</v>
      </c>
      <c r="G367" s="2">
        <v>28000</v>
      </c>
      <c r="H367" t="s">
        <v>10</v>
      </c>
      <c r="I367" s="2">
        <f t="shared" si="20"/>
        <v>623000</v>
      </c>
      <c r="J367" s="2">
        <f t="shared" si="19"/>
        <v>651000</v>
      </c>
    </row>
    <row r="368" spans="1:10">
      <c r="A368" s="7" t="s">
        <v>402</v>
      </c>
      <c r="B368" s="7" t="s">
        <v>355</v>
      </c>
      <c r="C368" t="s">
        <v>387</v>
      </c>
      <c r="D368" s="7" t="str">
        <f t="shared" si="18"/>
        <v>Leadership</v>
      </c>
      <c r="E368" s="2">
        <v>1172000</v>
      </c>
      <c r="F368" s="2">
        <v>140000</v>
      </c>
      <c r="G368" s="2">
        <v>20000</v>
      </c>
      <c r="H368" t="s">
        <v>10</v>
      </c>
      <c r="I368" s="2">
        <f t="shared" si="20"/>
        <v>1312000</v>
      </c>
      <c r="J368" s="2">
        <f t="shared" si="19"/>
        <v>1332000</v>
      </c>
    </row>
    <row r="369" spans="1:10">
      <c r="A369" s="7" t="s">
        <v>403</v>
      </c>
      <c r="B369" s="7" t="s">
        <v>355</v>
      </c>
      <c r="C369" t="s">
        <v>358</v>
      </c>
      <c r="D369" s="7" t="str">
        <f t="shared" si="18"/>
        <v>Mid</v>
      </c>
      <c r="E369" s="2">
        <v>613000</v>
      </c>
      <c r="F369" s="2">
        <v>64000</v>
      </c>
      <c r="G369" s="2">
        <v>20000</v>
      </c>
      <c r="H369" t="s">
        <v>10</v>
      </c>
      <c r="I369" s="2">
        <f t="shared" si="20"/>
        <v>677000</v>
      </c>
      <c r="J369" s="2">
        <f t="shared" si="19"/>
        <v>697000</v>
      </c>
    </row>
    <row r="370" spans="1:10">
      <c r="A370" s="7" t="s">
        <v>404</v>
      </c>
      <c r="B370" s="7" t="s">
        <v>355</v>
      </c>
      <c r="C370" t="s">
        <v>366</v>
      </c>
      <c r="D370" s="7" t="str">
        <f t="shared" si="18"/>
        <v>Entry</v>
      </c>
      <c r="E370" s="2">
        <v>635000</v>
      </c>
      <c r="F370" s="2">
        <v>64000</v>
      </c>
      <c r="G370" s="2">
        <v>28000</v>
      </c>
      <c r="H370" t="s">
        <v>10</v>
      </c>
      <c r="I370" s="2">
        <f t="shared" si="20"/>
        <v>699000</v>
      </c>
      <c r="J370" s="2">
        <f t="shared" si="19"/>
        <v>727000</v>
      </c>
    </row>
    <row r="371" spans="1:10">
      <c r="A371" s="7" t="s">
        <v>405</v>
      </c>
      <c r="B371" s="7" t="s">
        <v>355</v>
      </c>
      <c r="C371" t="s">
        <v>358</v>
      </c>
      <c r="D371" s="7" t="str">
        <f t="shared" si="18"/>
        <v>Mid</v>
      </c>
      <c r="E371" s="2">
        <v>693000</v>
      </c>
      <c r="F371" s="2">
        <v>74000</v>
      </c>
      <c r="G371" s="2">
        <v>30000</v>
      </c>
      <c r="H371" t="s">
        <v>10</v>
      </c>
      <c r="I371" s="2">
        <f t="shared" si="20"/>
        <v>767000</v>
      </c>
      <c r="J371" s="2">
        <f t="shared" si="19"/>
        <v>797000</v>
      </c>
    </row>
    <row r="372" spans="1:10">
      <c r="A372" s="7" t="s">
        <v>406</v>
      </c>
      <c r="B372" s="7" t="s">
        <v>355</v>
      </c>
      <c r="C372" t="s">
        <v>358</v>
      </c>
      <c r="D372" s="7" t="str">
        <f t="shared" si="18"/>
        <v>Mid</v>
      </c>
      <c r="E372" s="2">
        <v>597000</v>
      </c>
      <c r="F372" s="2">
        <v>76000</v>
      </c>
      <c r="G372" s="2">
        <v>20000</v>
      </c>
      <c r="H372" t="s">
        <v>10</v>
      </c>
      <c r="I372" s="2">
        <f t="shared" si="20"/>
        <v>673000</v>
      </c>
      <c r="J372" s="2">
        <f t="shared" si="19"/>
        <v>693000</v>
      </c>
    </row>
    <row r="373" spans="1:10">
      <c r="A373" s="7" t="s">
        <v>407</v>
      </c>
      <c r="B373" s="7" t="s">
        <v>355</v>
      </c>
      <c r="C373" t="s">
        <v>358</v>
      </c>
      <c r="D373" s="7" t="str">
        <f t="shared" si="18"/>
        <v>Mid</v>
      </c>
      <c r="E373" s="2">
        <v>719000</v>
      </c>
      <c r="F373" s="2">
        <v>72000</v>
      </c>
      <c r="G373" s="2">
        <v>30000</v>
      </c>
      <c r="H373" t="s">
        <v>10</v>
      </c>
      <c r="I373" s="2">
        <f t="shared" si="20"/>
        <v>791000</v>
      </c>
      <c r="J373" s="2">
        <f t="shared" si="19"/>
        <v>821000</v>
      </c>
    </row>
    <row r="374" spans="1:10">
      <c r="A374" s="7" t="s">
        <v>408</v>
      </c>
      <c r="B374" s="7" t="s">
        <v>355</v>
      </c>
      <c r="C374" t="s">
        <v>366</v>
      </c>
      <c r="D374" s="7" t="str">
        <f t="shared" si="18"/>
        <v>Entry</v>
      </c>
      <c r="E374" s="2">
        <v>666000</v>
      </c>
      <c r="F374" s="2">
        <v>75000</v>
      </c>
      <c r="G374" s="2">
        <v>15000</v>
      </c>
      <c r="H374" t="s">
        <v>10</v>
      </c>
      <c r="I374" s="2">
        <f t="shared" si="20"/>
        <v>741000</v>
      </c>
      <c r="J374" s="2">
        <f t="shared" si="19"/>
        <v>756000</v>
      </c>
    </row>
    <row r="375" spans="1:10">
      <c r="A375" s="7" t="s">
        <v>409</v>
      </c>
      <c r="B375" s="7" t="s">
        <v>355</v>
      </c>
      <c r="C375" t="s">
        <v>356</v>
      </c>
      <c r="D375" s="7" t="str">
        <f t="shared" si="18"/>
        <v>Entry</v>
      </c>
      <c r="E375" s="2">
        <v>524000</v>
      </c>
      <c r="F375" s="2">
        <v>66000</v>
      </c>
      <c r="G375" s="2">
        <v>35000</v>
      </c>
      <c r="H375" t="s">
        <v>10</v>
      </c>
      <c r="I375" s="2">
        <f t="shared" si="20"/>
        <v>590000</v>
      </c>
      <c r="J375" s="2">
        <f t="shared" si="19"/>
        <v>625000</v>
      </c>
    </row>
    <row r="376" spans="1:10">
      <c r="A376" s="7" t="s">
        <v>410</v>
      </c>
      <c r="B376" s="7" t="s">
        <v>355</v>
      </c>
      <c r="C376" t="s">
        <v>358</v>
      </c>
      <c r="D376" s="7" t="str">
        <f t="shared" si="18"/>
        <v>Mid</v>
      </c>
      <c r="E376" s="2">
        <v>657000</v>
      </c>
      <c r="F376" s="2">
        <v>89000</v>
      </c>
      <c r="G376" s="2">
        <v>25000</v>
      </c>
      <c r="H376" t="s">
        <v>10</v>
      </c>
      <c r="I376" s="2">
        <f t="shared" si="20"/>
        <v>746000</v>
      </c>
      <c r="J376" s="2">
        <f t="shared" si="19"/>
        <v>771000</v>
      </c>
    </row>
    <row r="377" spans="1:10">
      <c r="A377" s="7" t="s">
        <v>411</v>
      </c>
      <c r="B377" s="7" t="s">
        <v>412</v>
      </c>
      <c r="C377" t="s">
        <v>413</v>
      </c>
      <c r="D377" s="7" t="str">
        <f t="shared" si="18"/>
        <v>Mid</v>
      </c>
      <c r="E377" s="2">
        <v>775000</v>
      </c>
      <c r="F377" s="2">
        <v>89000</v>
      </c>
      <c r="G377" s="2">
        <v>22000</v>
      </c>
      <c r="H377" t="s">
        <v>10</v>
      </c>
      <c r="I377" s="2">
        <f t="shared" si="20"/>
        <v>864000</v>
      </c>
      <c r="J377" s="2">
        <f t="shared" si="19"/>
        <v>886000</v>
      </c>
    </row>
    <row r="378" spans="1:10">
      <c r="A378" s="7" t="s">
        <v>414</v>
      </c>
      <c r="B378" s="7" t="s">
        <v>412</v>
      </c>
      <c r="C378" t="s">
        <v>415</v>
      </c>
      <c r="D378" s="7" t="str">
        <f t="shared" si="18"/>
        <v>Entry</v>
      </c>
      <c r="E378" s="2">
        <v>560000</v>
      </c>
      <c r="F378" s="2">
        <v>73000</v>
      </c>
      <c r="G378" s="2">
        <v>28000</v>
      </c>
      <c r="H378" t="s">
        <v>10</v>
      </c>
      <c r="I378" s="2">
        <f t="shared" si="20"/>
        <v>633000</v>
      </c>
      <c r="J378" s="2">
        <f t="shared" si="19"/>
        <v>661000</v>
      </c>
    </row>
    <row r="379" spans="1:10">
      <c r="A379" s="7" t="s">
        <v>416</v>
      </c>
      <c r="B379" s="7" t="s">
        <v>412</v>
      </c>
      <c r="C379" t="s">
        <v>417</v>
      </c>
      <c r="D379" s="7" t="str">
        <f t="shared" si="18"/>
        <v>Senior</v>
      </c>
      <c r="E379" s="2">
        <v>803000</v>
      </c>
      <c r="F379" s="2">
        <v>98000</v>
      </c>
      <c r="G379" s="2">
        <v>22000</v>
      </c>
      <c r="H379" t="s">
        <v>10</v>
      </c>
      <c r="I379" s="2">
        <f t="shared" si="20"/>
        <v>901000</v>
      </c>
      <c r="J379" s="2">
        <f t="shared" si="19"/>
        <v>923000</v>
      </c>
    </row>
    <row r="380" spans="1:10">
      <c r="A380" s="7" t="s">
        <v>418</v>
      </c>
      <c r="B380" s="7" t="s">
        <v>412</v>
      </c>
      <c r="C380" t="s">
        <v>413</v>
      </c>
      <c r="D380" s="7" t="str">
        <f t="shared" si="18"/>
        <v>Mid</v>
      </c>
      <c r="E380" s="2">
        <v>722000</v>
      </c>
      <c r="F380" s="2">
        <v>95000</v>
      </c>
      <c r="G380" s="2">
        <v>35000</v>
      </c>
      <c r="H380" t="s">
        <v>10</v>
      </c>
      <c r="I380" s="2">
        <f t="shared" si="20"/>
        <v>817000</v>
      </c>
      <c r="J380" s="2">
        <f t="shared" si="19"/>
        <v>852000</v>
      </c>
    </row>
    <row r="381" spans="1:10">
      <c r="A381" s="7" t="s">
        <v>419</v>
      </c>
      <c r="B381" s="7" t="s">
        <v>412</v>
      </c>
      <c r="C381" t="s">
        <v>415</v>
      </c>
      <c r="D381" s="7" t="str">
        <f t="shared" si="18"/>
        <v>Entry</v>
      </c>
      <c r="E381" s="2">
        <v>661000</v>
      </c>
      <c r="F381" s="2">
        <v>69000</v>
      </c>
      <c r="G381" s="2">
        <v>22000</v>
      </c>
      <c r="H381" t="s">
        <v>10</v>
      </c>
      <c r="I381" s="2">
        <f t="shared" si="20"/>
        <v>730000</v>
      </c>
      <c r="J381" s="2">
        <f t="shared" si="19"/>
        <v>752000</v>
      </c>
    </row>
    <row r="382" spans="1:10">
      <c r="A382" s="7" t="s">
        <v>420</v>
      </c>
      <c r="B382" s="7" t="s">
        <v>412</v>
      </c>
      <c r="C382" t="s">
        <v>415</v>
      </c>
      <c r="D382" s="7" t="str">
        <f t="shared" si="18"/>
        <v>Entry</v>
      </c>
      <c r="E382" s="2">
        <v>583000</v>
      </c>
      <c r="F382" s="2">
        <v>70000</v>
      </c>
      <c r="G382" s="2">
        <v>18000</v>
      </c>
      <c r="H382" t="s">
        <v>10</v>
      </c>
      <c r="I382" s="2">
        <f t="shared" si="20"/>
        <v>653000</v>
      </c>
      <c r="J382" s="2">
        <f t="shared" si="19"/>
        <v>671000</v>
      </c>
    </row>
    <row r="383" spans="1:10">
      <c r="A383" s="7" t="s">
        <v>421</v>
      </c>
      <c r="B383" s="7" t="s">
        <v>412</v>
      </c>
      <c r="C383" t="s">
        <v>413</v>
      </c>
      <c r="D383" s="7" t="str">
        <f t="shared" si="18"/>
        <v>Mid</v>
      </c>
      <c r="E383" s="2">
        <v>705000</v>
      </c>
      <c r="F383" s="2">
        <v>96000</v>
      </c>
      <c r="G383" s="2">
        <v>35000</v>
      </c>
      <c r="H383" t="s">
        <v>10</v>
      </c>
      <c r="I383" s="2">
        <f t="shared" si="20"/>
        <v>801000</v>
      </c>
      <c r="J383" s="2">
        <f t="shared" si="19"/>
        <v>836000</v>
      </c>
    </row>
    <row r="384" spans="1:10">
      <c r="A384" s="7" t="s">
        <v>422</v>
      </c>
      <c r="B384" s="7" t="s">
        <v>412</v>
      </c>
      <c r="C384" t="s">
        <v>417</v>
      </c>
      <c r="D384" s="7" t="str">
        <f t="shared" si="18"/>
        <v>Senior</v>
      </c>
      <c r="E384" s="2">
        <v>810000</v>
      </c>
      <c r="F384" s="2">
        <v>96000</v>
      </c>
      <c r="G384" s="2">
        <v>15000</v>
      </c>
      <c r="H384" t="s">
        <v>10</v>
      </c>
      <c r="I384" s="2">
        <f t="shared" si="20"/>
        <v>906000</v>
      </c>
      <c r="J384" s="2">
        <f t="shared" si="19"/>
        <v>921000</v>
      </c>
    </row>
    <row r="385" spans="1:10">
      <c r="A385" s="7" t="s">
        <v>423</v>
      </c>
      <c r="B385" s="7" t="s">
        <v>412</v>
      </c>
      <c r="C385" t="s">
        <v>413</v>
      </c>
      <c r="D385" s="7" t="str">
        <f t="shared" si="18"/>
        <v>Mid</v>
      </c>
      <c r="E385" s="2">
        <v>677000</v>
      </c>
      <c r="F385" s="2">
        <v>68000</v>
      </c>
      <c r="G385" s="2">
        <v>25000</v>
      </c>
      <c r="H385" t="s">
        <v>10</v>
      </c>
      <c r="I385" s="2">
        <f t="shared" si="20"/>
        <v>745000</v>
      </c>
      <c r="J385" s="2">
        <f t="shared" si="19"/>
        <v>770000</v>
      </c>
    </row>
    <row r="386" spans="1:10">
      <c r="A386" s="7" t="s">
        <v>424</v>
      </c>
      <c r="B386" s="7" t="s">
        <v>412</v>
      </c>
      <c r="C386" t="s">
        <v>425</v>
      </c>
      <c r="D386" s="7" t="str">
        <f t="shared" si="18"/>
        <v>Mid</v>
      </c>
      <c r="E386" s="2">
        <v>699000</v>
      </c>
      <c r="F386" s="2">
        <v>71000</v>
      </c>
      <c r="G386" s="2">
        <v>28000</v>
      </c>
      <c r="H386" t="s">
        <v>10</v>
      </c>
      <c r="I386" s="2">
        <f t="shared" si="20"/>
        <v>770000</v>
      </c>
      <c r="J386" s="2">
        <f t="shared" si="19"/>
        <v>798000</v>
      </c>
    </row>
    <row r="387" spans="1:10">
      <c r="A387" s="7" t="s">
        <v>426</v>
      </c>
      <c r="B387" s="7" t="s">
        <v>412</v>
      </c>
      <c r="C387" t="s">
        <v>417</v>
      </c>
      <c r="D387" s="7" t="str">
        <f t="shared" ref="D387:D450" si="21">IF(OR(ISNUMBER(SEARCH("Manager",C387)),ISNUMBER(SEARCH("Controller",C387))),"Leadership",IF(OR(ISNUMBER(SEARCH("Senior",C387)),ISNUMBER(SEARCH("Regional",C387))),"Senior",IF(OR(ISNUMBER(SEARCH("Engineer",C387)),ISNUMBER(SEARCH("Analyst",C387)),ISNUMBER(SEARCH("Specialist",C387)),ISNUMBER(SEARCH("Business Partner",C387)),ISNUMBER(SEARCH("Account Manager",C387))),"Mid","Entry")))</f>
        <v>Senior</v>
      </c>
      <c r="E387" s="2">
        <v>731000</v>
      </c>
      <c r="F387" s="2">
        <v>99000</v>
      </c>
      <c r="G387" s="2">
        <v>35000</v>
      </c>
      <c r="H387" t="s">
        <v>13</v>
      </c>
      <c r="I387" s="2">
        <f t="shared" si="20"/>
        <v>830000</v>
      </c>
      <c r="J387" s="2">
        <f t="shared" ref="J387:J450" si="22">I387+G387</f>
        <v>865000</v>
      </c>
    </row>
    <row r="388" spans="1:10">
      <c r="A388" s="7" t="s">
        <v>427</v>
      </c>
      <c r="B388" s="7" t="s">
        <v>412</v>
      </c>
      <c r="C388" t="s">
        <v>417</v>
      </c>
      <c r="D388" s="7" t="str">
        <f t="shared" si="21"/>
        <v>Senior</v>
      </c>
      <c r="E388" s="2">
        <v>855000</v>
      </c>
      <c r="F388" s="2">
        <v>112000</v>
      </c>
      <c r="G388" s="2">
        <v>30000</v>
      </c>
      <c r="H388" t="s">
        <v>10</v>
      </c>
      <c r="I388" s="2">
        <f t="shared" si="20"/>
        <v>967000</v>
      </c>
      <c r="J388" s="2">
        <f t="shared" si="22"/>
        <v>997000</v>
      </c>
    </row>
    <row r="389" spans="1:10">
      <c r="A389" s="7" t="s">
        <v>428</v>
      </c>
      <c r="B389" s="7" t="s">
        <v>412</v>
      </c>
      <c r="C389" t="s">
        <v>429</v>
      </c>
      <c r="D389" s="7" t="str">
        <f t="shared" si="21"/>
        <v>Mid</v>
      </c>
      <c r="E389" s="2">
        <v>759000</v>
      </c>
      <c r="F389" s="2">
        <v>104000</v>
      </c>
      <c r="G389" s="2">
        <v>30000</v>
      </c>
      <c r="H389" t="s">
        <v>10</v>
      </c>
      <c r="I389" s="2">
        <f t="shared" si="20"/>
        <v>863000</v>
      </c>
      <c r="J389" s="2">
        <f t="shared" si="22"/>
        <v>893000</v>
      </c>
    </row>
    <row r="390" spans="1:10">
      <c r="A390" s="7" t="s">
        <v>430</v>
      </c>
      <c r="B390" s="7" t="s">
        <v>412</v>
      </c>
      <c r="C390" t="s">
        <v>413</v>
      </c>
      <c r="D390" s="7" t="str">
        <f t="shared" si="21"/>
        <v>Mid</v>
      </c>
      <c r="E390" s="2">
        <v>732000</v>
      </c>
      <c r="F390" s="2">
        <v>89000</v>
      </c>
      <c r="G390" s="2">
        <v>28000</v>
      </c>
      <c r="H390" t="s">
        <v>10</v>
      </c>
      <c r="I390" s="2">
        <f t="shared" si="20"/>
        <v>821000</v>
      </c>
      <c r="J390" s="2">
        <f t="shared" si="22"/>
        <v>849000</v>
      </c>
    </row>
    <row r="391" spans="1:10">
      <c r="A391" s="7" t="s">
        <v>431</v>
      </c>
      <c r="B391" s="7" t="s">
        <v>412</v>
      </c>
      <c r="C391" t="s">
        <v>432</v>
      </c>
      <c r="D391" s="7" t="str">
        <f t="shared" si="21"/>
        <v>Leadership</v>
      </c>
      <c r="E391" s="2">
        <v>1233000</v>
      </c>
      <c r="F391" s="2">
        <v>130000</v>
      </c>
      <c r="G391" s="2">
        <v>22000</v>
      </c>
      <c r="H391" t="s">
        <v>10</v>
      </c>
      <c r="I391" s="2">
        <f t="shared" si="20"/>
        <v>1363000</v>
      </c>
      <c r="J391" s="2">
        <f t="shared" si="22"/>
        <v>1385000</v>
      </c>
    </row>
    <row r="392" spans="1:10">
      <c r="A392" s="7" t="s">
        <v>433</v>
      </c>
      <c r="B392" s="7" t="s">
        <v>412</v>
      </c>
      <c r="C392" t="s">
        <v>425</v>
      </c>
      <c r="D392" s="7" t="str">
        <f t="shared" si="21"/>
        <v>Mid</v>
      </c>
      <c r="E392" s="2">
        <v>758000</v>
      </c>
      <c r="F392" s="2">
        <v>90000</v>
      </c>
      <c r="G392" s="2">
        <v>30000</v>
      </c>
      <c r="H392" t="s">
        <v>10</v>
      </c>
      <c r="I392" s="2">
        <f t="shared" si="20"/>
        <v>848000</v>
      </c>
      <c r="J392" s="2">
        <f t="shared" si="22"/>
        <v>878000</v>
      </c>
    </row>
    <row r="393" spans="1:10">
      <c r="A393" s="7" t="s">
        <v>434</v>
      </c>
      <c r="B393" s="7" t="s">
        <v>412</v>
      </c>
      <c r="C393" t="s">
        <v>425</v>
      </c>
      <c r="D393" s="7" t="str">
        <f t="shared" si="21"/>
        <v>Mid</v>
      </c>
      <c r="E393" s="2">
        <v>649000</v>
      </c>
      <c r="F393" s="2">
        <v>74000</v>
      </c>
      <c r="G393" s="2">
        <v>25000</v>
      </c>
      <c r="H393" t="s">
        <v>10</v>
      </c>
      <c r="I393" s="2">
        <f t="shared" si="20"/>
        <v>723000</v>
      </c>
      <c r="J393" s="2">
        <f t="shared" si="22"/>
        <v>748000</v>
      </c>
    </row>
    <row r="394" spans="1:10">
      <c r="A394" s="7" t="s">
        <v>435</v>
      </c>
      <c r="B394" s="7" t="s">
        <v>412</v>
      </c>
      <c r="C394" t="s">
        <v>429</v>
      </c>
      <c r="D394" s="7" t="str">
        <f t="shared" si="21"/>
        <v>Mid</v>
      </c>
      <c r="E394" s="2">
        <v>812000</v>
      </c>
      <c r="F394" s="2">
        <v>82000</v>
      </c>
      <c r="G394" s="2">
        <v>30000</v>
      </c>
      <c r="H394" t="s">
        <v>10</v>
      </c>
      <c r="I394" s="2">
        <f t="shared" si="20"/>
        <v>894000</v>
      </c>
      <c r="J394" s="2">
        <f t="shared" si="22"/>
        <v>924000</v>
      </c>
    </row>
    <row r="395" spans="1:10">
      <c r="A395" s="7" t="s">
        <v>436</v>
      </c>
      <c r="B395" s="7" t="s">
        <v>412</v>
      </c>
      <c r="C395" t="s">
        <v>429</v>
      </c>
      <c r="D395" s="7" t="str">
        <f t="shared" si="21"/>
        <v>Mid</v>
      </c>
      <c r="E395" s="2">
        <v>833000</v>
      </c>
      <c r="F395" s="2">
        <v>91000</v>
      </c>
      <c r="G395" s="2">
        <v>18000</v>
      </c>
      <c r="H395" t="s">
        <v>10</v>
      </c>
      <c r="I395" s="2">
        <f t="shared" si="20"/>
        <v>924000</v>
      </c>
      <c r="J395" s="2">
        <f t="shared" si="22"/>
        <v>942000</v>
      </c>
    </row>
    <row r="396" spans="1:10">
      <c r="A396" s="7" t="s">
        <v>437</v>
      </c>
      <c r="B396" s="7" t="s">
        <v>412</v>
      </c>
      <c r="C396" t="s">
        <v>415</v>
      </c>
      <c r="D396" s="7" t="str">
        <f t="shared" si="21"/>
        <v>Entry</v>
      </c>
      <c r="E396" s="2">
        <v>619000</v>
      </c>
      <c r="F396" s="2">
        <v>79000</v>
      </c>
      <c r="G396" s="2">
        <v>15000</v>
      </c>
      <c r="H396" t="s">
        <v>10</v>
      </c>
      <c r="I396" s="2">
        <f t="shared" si="20"/>
        <v>698000</v>
      </c>
      <c r="J396" s="2">
        <f t="shared" si="22"/>
        <v>713000</v>
      </c>
    </row>
    <row r="397" spans="1:10">
      <c r="A397" s="7" t="s">
        <v>438</v>
      </c>
      <c r="B397" s="7" t="s">
        <v>412</v>
      </c>
      <c r="C397" t="s">
        <v>415</v>
      </c>
      <c r="D397" s="7" t="str">
        <f t="shared" si="21"/>
        <v>Entry</v>
      </c>
      <c r="E397" s="2">
        <v>598000</v>
      </c>
      <c r="F397" s="2">
        <v>73000</v>
      </c>
      <c r="G397" s="2">
        <v>15000</v>
      </c>
      <c r="H397" t="s">
        <v>10</v>
      </c>
      <c r="I397" s="2">
        <f t="shared" si="20"/>
        <v>671000</v>
      </c>
      <c r="J397" s="2">
        <f t="shared" si="22"/>
        <v>686000</v>
      </c>
    </row>
    <row r="398" spans="1:10">
      <c r="A398" s="7" t="s">
        <v>439</v>
      </c>
      <c r="B398" s="7" t="s">
        <v>412</v>
      </c>
      <c r="C398" t="s">
        <v>432</v>
      </c>
      <c r="D398" s="7" t="str">
        <f t="shared" si="21"/>
        <v>Leadership</v>
      </c>
      <c r="E398" s="2">
        <v>1189000</v>
      </c>
      <c r="F398" s="2">
        <v>162000</v>
      </c>
      <c r="G398" s="2">
        <v>28000</v>
      </c>
      <c r="H398" t="s">
        <v>10</v>
      </c>
      <c r="I398" s="2">
        <f t="shared" si="20"/>
        <v>1351000</v>
      </c>
      <c r="J398" s="2">
        <f t="shared" si="22"/>
        <v>1379000</v>
      </c>
    </row>
    <row r="399" spans="1:10">
      <c r="A399" s="7" t="s">
        <v>440</v>
      </c>
      <c r="B399" s="7" t="s">
        <v>412</v>
      </c>
      <c r="C399" t="s">
        <v>425</v>
      </c>
      <c r="D399" s="7" t="str">
        <f t="shared" si="21"/>
        <v>Mid</v>
      </c>
      <c r="E399" s="2">
        <v>734000</v>
      </c>
      <c r="F399" s="2">
        <v>80000</v>
      </c>
      <c r="G399" s="2">
        <v>20000</v>
      </c>
      <c r="H399" t="s">
        <v>10</v>
      </c>
      <c r="I399" s="2">
        <f t="shared" si="20"/>
        <v>814000</v>
      </c>
      <c r="J399" s="2">
        <f t="shared" si="22"/>
        <v>834000</v>
      </c>
    </row>
    <row r="400" spans="1:10">
      <c r="A400" s="7" t="s">
        <v>441</v>
      </c>
      <c r="B400" s="7" t="s">
        <v>412</v>
      </c>
      <c r="C400" t="s">
        <v>417</v>
      </c>
      <c r="D400" s="7" t="str">
        <f t="shared" si="21"/>
        <v>Senior</v>
      </c>
      <c r="E400" s="2">
        <v>793000</v>
      </c>
      <c r="F400" s="2">
        <v>88000</v>
      </c>
      <c r="G400" s="2">
        <v>20000</v>
      </c>
      <c r="H400" t="s">
        <v>10</v>
      </c>
      <c r="I400" s="2">
        <f t="shared" ref="I400:I463" si="23">E400+F400</f>
        <v>881000</v>
      </c>
      <c r="J400" s="2">
        <f t="shared" si="22"/>
        <v>901000</v>
      </c>
    </row>
    <row r="401" spans="1:10">
      <c r="A401" s="7" t="s">
        <v>442</v>
      </c>
      <c r="B401" s="7" t="s">
        <v>412</v>
      </c>
      <c r="C401" t="s">
        <v>417</v>
      </c>
      <c r="D401" s="7" t="str">
        <f t="shared" si="21"/>
        <v>Senior</v>
      </c>
      <c r="E401" s="2">
        <v>807000</v>
      </c>
      <c r="F401" s="2">
        <v>112000</v>
      </c>
      <c r="G401" s="2">
        <v>30000</v>
      </c>
      <c r="H401" t="s">
        <v>10</v>
      </c>
      <c r="I401" s="2">
        <f t="shared" si="23"/>
        <v>919000</v>
      </c>
      <c r="J401" s="2">
        <f t="shared" si="22"/>
        <v>949000</v>
      </c>
    </row>
    <row r="402" spans="1:10">
      <c r="A402" s="7" t="s">
        <v>443</v>
      </c>
      <c r="B402" s="7" t="s">
        <v>412</v>
      </c>
      <c r="C402" t="s">
        <v>415</v>
      </c>
      <c r="D402" s="7" t="str">
        <f t="shared" si="21"/>
        <v>Entry</v>
      </c>
      <c r="E402" s="2">
        <v>595000</v>
      </c>
      <c r="F402" s="2">
        <v>63000</v>
      </c>
      <c r="G402" s="2">
        <v>30000</v>
      </c>
      <c r="H402" t="s">
        <v>10</v>
      </c>
      <c r="I402" s="2">
        <f t="shared" si="23"/>
        <v>658000</v>
      </c>
      <c r="J402" s="2">
        <f t="shared" si="22"/>
        <v>688000</v>
      </c>
    </row>
    <row r="403" spans="1:10">
      <c r="A403" s="7" t="s">
        <v>444</v>
      </c>
      <c r="B403" s="7" t="s">
        <v>412</v>
      </c>
      <c r="C403" t="s">
        <v>417</v>
      </c>
      <c r="D403" s="7" t="str">
        <f t="shared" si="21"/>
        <v>Senior</v>
      </c>
      <c r="E403" s="2">
        <v>762000</v>
      </c>
      <c r="F403" s="2">
        <v>83000</v>
      </c>
      <c r="G403" s="2">
        <v>20000</v>
      </c>
      <c r="H403" t="s">
        <v>10</v>
      </c>
      <c r="I403" s="2">
        <f t="shared" si="23"/>
        <v>845000</v>
      </c>
      <c r="J403" s="2">
        <f t="shared" si="22"/>
        <v>865000</v>
      </c>
    </row>
    <row r="404" spans="1:10">
      <c r="A404" s="7" t="s">
        <v>445</v>
      </c>
      <c r="B404" s="7" t="s">
        <v>412</v>
      </c>
      <c r="C404" t="s">
        <v>429</v>
      </c>
      <c r="D404" s="7" t="str">
        <f t="shared" si="21"/>
        <v>Mid</v>
      </c>
      <c r="E404" s="2">
        <v>778000</v>
      </c>
      <c r="F404" s="2">
        <v>108000</v>
      </c>
      <c r="G404" s="2">
        <v>20000</v>
      </c>
      <c r="H404" t="s">
        <v>10</v>
      </c>
      <c r="I404" s="2">
        <f t="shared" si="23"/>
        <v>886000</v>
      </c>
      <c r="J404" s="2">
        <f t="shared" si="22"/>
        <v>906000</v>
      </c>
    </row>
    <row r="405" spans="1:10">
      <c r="A405" s="7" t="s">
        <v>446</v>
      </c>
      <c r="B405" s="7" t="s">
        <v>412</v>
      </c>
      <c r="C405" t="s">
        <v>415</v>
      </c>
      <c r="D405" s="7" t="str">
        <f t="shared" si="21"/>
        <v>Entry</v>
      </c>
      <c r="E405" s="2">
        <v>584000</v>
      </c>
      <c r="F405" s="2">
        <v>60000</v>
      </c>
      <c r="G405" s="2">
        <v>35000</v>
      </c>
      <c r="H405" t="s">
        <v>10</v>
      </c>
      <c r="I405" s="2">
        <f t="shared" si="23"/>
        <v>644000</v>
      </c>
      <c r="J405" s="2">
        <f t="shared" si="22"/>
        <v>679000</v>
      </c>
    </row>
    <row r="406" spans="1:10">
      <c r="A406" s="7" t="s">
        <v>447</v>
      </c>
      <c r="B406" s="7" t="s">
        <v>412</v>
      </c>
      <c r="C406" t="s">
        <v>415</v>
      </c>
      <c r="D406" s="7" t="str">
        <f t="shared" si="21"/>
        <v>Entry</v>
      </c>
      <c r="E406" s="2">
        <v>636000</v>
      </c>
      <c r="F406" s="2">
        <v>68000</v>
      </c>
      <c r="G406" s="2">
        <v>25000</v>
      </c>
      <c r="H406" t="s">
        <v>10</v>
      </c>
      <c r="I406" s="2">
        <f t="shared" si="23"/>
        <v>704000</v>
      </c>
      <c r="J406" s="2">
        <f t="shared" si="22"/>
        <v>729000</v>
      </c>
    </row>
    <row r="407" spans="1:10">
      <c r="A407" s="7" t="s">
        <v>448</v>
      </c>
      <c r="B407" s="7" t="s">
        <v>412</v>
      </c>
      <c r="C407" t="s">
        <v>413</v>
      </c>
      <c r="D407" s="7" t="str">
        <f t="shared" si="21"/>
        <v>Mid</v>
      </c>
      <c r="E407" s="2">
        <v>636000</v>
      </c>
      <c r="F407" s="2">
        <v>65000</v>
      </c>
      <c r="G407" s="2">
        <v>22000</v>
      </c>
      <c r="H407" t="s">
        <v>10</v>
      </c>
      <c r="I407" s="2">
        <f t="shared" si="23"/>
        <v>701000</v>
      </c>
      <c r="J407" s="2">
        <f t="shared" si="22"/>
        <v>723000</v>
      </c>
    </row>
    <row r="408" spans="1:10">
      <c r="A408" s="7" t="s">
        <v>449</v>
      </c>
      <c r="B408" s="7" t="s">
        <v>412</v>
      </c>
      <c r="C408" t="s">
        <v>429</v>
      </c>
      <c r="D408" s="7" t="str">
        <f t="shared" si="21"/>
        <v>Mid</v>
      </c>
      <c r="E408" s="2">
        <v>740000</v>
      </c>
      <c r="F408" s="2">
        <v>102000</v>
      </c>
      <c r="G408" s="2">
        <v>15000</v>
      </c>
      <c r="H408" t="s">
        <v>10</v>
      </c>
      <c r="I408" s="2">
        <f t="shared" si="23"/>
        <v>842000</v>
      </c>
      <c r="J408" s="2">
        <f t="shared" si="22"/>
        <v>857000</v>
      </c>
    </row>
    <row r="409" spans="1:10">
      <c r="A409" s="7" t="s">
        <v>450</v>
      </c>
      <c r="B409" s="7" t="s">
        <v>412</v>
      </c>
      <c r="C409" t="s">
        <v>415</v>
      </c>
      <c r="D409" s="7" t="str">
        <f t="shared" si="21"/>
        <v>Entry</v>
      </c>
      <c r="E409" s="2">
        <v>638000</v>
      </c>
      <c r="F409" s="2">
        <v>83000</v>
      </c>
      <c r="G409" s="2">
        <v>35000</v>
      </c>
      <c r="H409" t="s">
        <v>10</v>
      </c>
      <c r="I409" s="2">
        <f t="shared" si="23"/>
        <v>721000</v>
      </c>
      <c r="J409" s="2">
        <f t="shared" si="22"/>
        <v>756000</v>
      </c>
    </row>
    <row r="410" spans="1:10">
      <c r="A410" s="7" t="s">
        <v>451</v>
      </c>
      <c r="B410" s="7" t="s">
        <v>412</v>
      </c>
      <c r="C410" t="s">
        <v>413</v>
      </c>
      <c r="D410" s="7" t="str">
        <f t="shared" si="21"/>
        <v>Mid</v>
      </c>
      <c r="E410" s="2">
        <v>738000</v>
      </c>
      <c r="F410" s="2">
        <v>86000</v>
      </c>
      <c r="G410" s="2">
        <v>22000</v>
      </c>
      <c r="H410" t="s">
        <v>10</v>
      </c>
      <c r="I410" s="2">
        <f t="shared" si="23"/>
        <v>824000</v>
      </c>
      <c r="J410" s="2">
        <f t="shared" si="22"/>
        <v>846000</v>
      </c>
    </row>
    <row r="411" spans="1:10">
      <c r="A411" s="7" t="s">
        <v>452</v>
      </c>
      <c r="B411" s="7" t="s">
        <v>412</v>
      </c>
      <c r="C411" t="s">
        <v>425</v>
      </c>
      <c r="D411" s="7" t="str">
        <f t="shared" si="21"/>
        <v>Mid</v>
      </c>
      <c r="E411" s="2">
        <v>669000</v>
      </c>
      <c r="F411" s="2">
        <v>81000</v>
      </c>
      <c r="G411" s="2">
        <v>28000</v>
      </c>
      <c r="H411" t="s">
        <v>10</v>
      </c>
      <c r="I411" s="2">
        <f t="shared" si="23"/>
        <v>750000</v>
      </c>
      <c r="J411" s="2">
        <f t="shared" si="22"/>
        <v>778000</v>
      </c>
    </row>
    <row r="412" spans="1:10">
      <c r="A412" s="7" t="s">
        <v>453</v>
      </c>
      <c r="B412" s="7" t="s">
        <v>412</v>
      </c>
      <c r="C412" t="s">
        <v>415</v>
      </c>
      <c r="D412" s="7" t="str">
        <f t="shared" si="21"/>
        <v>Entry</v>
      </c>
      <c r="E412" s="2">
        <v>657000</v>
      </c>
      <c r="F412" s="2">
        <v>78000</v>
      </c>
      <c r="G412" s="2">
        <v>35000</v>
      </c>
      <c r="H412" t="s">
        <v>10</v>
      </c>
      <c r="I412" s="2">
        <f t="shared" si="23"/>
        <v>735000</v>
      </c>
      <c r="J412" s="2">
        <f t="shared" si="22"/>
        <v>770000</v>
      </c>
    </row>
    <row r="413" spans="1:10">
      <c r="A413" s="7" t="s">
        <v>454</v>
      </c>
      <c r="B413" s="7" t="s">
        <v>412</v>
      </c>
      <c r="C413" t="s">
        <v>415</v>
      </c>
      <c r="D413" s="7" t="str">
        <f t="shared" si="21"/>
        <v>Entry</v>
      </c>
      <c r="E413" s="2">
        <v>567000</v>
      </c>
      <c r="F413" s="2">
        <v>64000</v>
      </c>
      <c r="G413" s="2">
        <v>15000</v>
      </c>
      <c r="H413" t="s">
        <v>10</v>
      </c>
      <c r="I413" s="2">
        <f t="shared" si="23"/>
        <v>631000</v>
      </c>
      <c r="J413" s="2">
        <f t="shared" si="22"/>
        <v>646000</v>
      </c>
    </row>
    <row r="414" spans="1:10">
      <c r="A414" s="7" t="s">
        <v>455</v>
      </c>
      <c r="B414" s="7" t="s">
        <v>412</v>
      </c>
      <c r="C414" t="s">
        <v>415</v>
      </c>
      <c r="D414" s="7" t="str">
        <f t="shared" si="21"/>
        <v>Entry</v>
      </c>
      <c r="E414" s="2">
        <v>559000</v>
      </c>
      <c r="F414" s="2">
        <v>62000</v>
      </c>
      <c r="G414" s="2">
        <v>30000</v>
      </c>
      <c r="H414" t="s">
        <v>10</v>
      </c>
      <c r="I414" s="2">
        <f t="shared" si="23"/>
        <v>621000</v>
      </c>
      <c r="J414" s="2">
        <f t="shared" si="22"/>
        <v>651000</v>
      </c>
    </row>
    <row r="415" spans="1:10">
      <c r="A415" s="7" t="s">
        <v>456</v>
      </c>
      <c r="B415" s="7" t="s">
        <v>412</v>
      </c>
      <c r="C415" t="s">
        <v>415</v>
      </c>
      <c r="D415" s="7" t="str">
        <f t="shared" si="21"/>
        <v>Entry</v>
      </c>
      <c r="E415" s="2">
        <v>570000</v>
      </c>
      <c r="F415" s="2">
        <v>70000</v>
      </c>
      <c r="G415" s="2">
        <v>22000</v>
      </c>
      <c r="H415" t="s">
        <v>10</v>
      </c>
      <c r="I415" s="2">
        <f t="shared" si="23"/>
        <v>640000</v>
      </c>
      <c r="J415" s="2">
        <f t="shared" si="22"/>
        <v>662000</v>
      </c>
    </row>
    <row r="416" spans="1:10">
      <c r="A416" s="7" t="s">
        <v>457</v>
      </c>
      <c r="B416" s="7" t="s">
        <v>412</v>
      </c>
      <c r="C416" t="s">
        <v>413</v>
      </c>
      <c r="D416" s="7" t="str">
        <f t="shared" si="21"/>
        <v>Mid</v>
      </c>
      <c r="E416" s="2">
        <v>735000</v>
      </c>
      <c r="F416" s="2">
        <v>81000</v>
      </c>
      <c r="G416" s="2">
        <v>35000</v>
      </c>
      <c r="H416" t="s">
        <v>10</v>
      </c>
      <c r="I416" s="2">
        <f t="shared" si="23"/>
        <v>816000</v>
      </c>
      <c r="J416" s="2">
        <f t="shared" si="22"/>
        <v>851000</v>
      </c>
    </row>
    <row r="417" spans="1:10">
      <c r="A417" s="7" t="s">
        <v>458</v>
      </c>
      <c r="B417" s="7" t="s">
        <v>412</v>
      </c>
      <c r="C417" t="s">
        <v>413</v>
      </c>
      <c r="D417" s="7" t="str">
        <f t="shared" si="21"/>
        <v>Mid</v>
      </c>
      <c r="E417" s="2">
        <v>706000</v>
      </c>
      <c r="F417" s="2">
        <v>75000</v>
      </c>
      <c r="G417" s="2">
        <v>28000</v>
      </c>
      <c r="H417" t="s">
        <v>10</v>
      </c>
      <c r="I417" s="2">
        <f t="shared" si="23"/>
        <v>781000</v>
      </c>
      <c r="J417" s="2">
        <f t="shared" si="22"/>
        <v>809000</v>
      </c>
    </row>
    <row r="418" spans="1:10">
      <c r="A418" s="7" t="s">
        <v>459</v>
      </c>
      <c r="B418" s="7" t="s">
        <v>412</v>
      </c>
      <c r="C418" t="s">
        <v>413</v>
      </c>
      <c r="D418" s="7" t="str">
        <f t="shared" si="21"/>
        <v>Mid</v>
      </c>
      <c r="E418" s="2">
        <v>705000</v>
      </c>
      <c r="F418" s="2">
        <v>96000</v>
      </c>
      <c r="G418" s="2">
        <v>15000</v>
      </c>
      <c r="H418" t="s">
        <v>10</v>
      </c>
      <c r="I418" s="2">
        <f t="shared" si="23"/>
        <v>801000</v>
      </c>
      <c r="J418" s="2">
        <f t="shared" si="22"/>
        <v>816000</v>
      </c>
    </row>
    <row r="419" spans="1:10">
      <c r="A419" s="7" t="s">
        <v>460</v>
      </c>
      <c r="B419" s="7" t="s">
        <v>412</v>
      </c>
      <c r="C419" t="s">
        <v>425</v>
      </c>
      <c r="D419" s="7" t="str">
        <f t="shared" si="21"/>
        <v>Mid</v>
      </c>
      <c r="E419" s="2">
        <v>623000</v>
      </c>
      <c r="F419" s="2">
        <v>83000</v>
      </c>
      <c r="G419" s="2">
        <v>15000</v>
      </c>
      <c r="H419" t="s">
        <v>10</v>
      </c>
      <c r="I419" s="2">
        <f t="shared" si="23"/>
        <v>706000</v>
      </c>
      <c r="J419" s="2">
        <f t="shared" si="22"/>
        <v>721000</v>
      </c>
    </row>
    <row r="420" spans="1:10">
      <c r="A420" s="7" t="s">
        <v>461</v>
      </c>
      <c r="B420" s="7" t="s">
        <v>412</v>
      </c>
      <c r="C420" t="s">
        <v>417</v>
      </c>
      <c r="D420" s="7" t="str">
        <f t="shared" si="21"/>
        <v>Senior</v>
      </c>
      <c r="E420" s="2">
        <v>868000</v>
      </c>
      <c r="F420" s="2">
        <v>95000</v>
      </c>
      <c r="G420" s="2">
        <v>20000</v>
      </c>
      <c r="H420" t="s">
        <v>13</v>
      </c>
      <c r="I420" s="2">
        <f t="shared" si="23"/>
        <v>963000</v>
      </c>
      <c r="J420" s="2">
        <f t="shared" si="22"/>
        <v>983000</v>
      </c>
    </row>
    <row r="421" spans="1:10">
      <c r="A421" s="7" t="s">
        <v>462</v>
      </c>
      <c r="B421" s="7" t="s">
        <v>412</v>
      </c>
      <c r="C421" t="s">
        <v>417</v>
      </c>
      <c r="D421" s="7" t="str">
        <f t="shared" si="21"/>
        <v>Senior</v>
      </c>
      <c r="E421" s="2">
        <v>786000</v>
      </c>
      <c r="F421" s="2">
        <v>98000</v>
      </c>
      <c r="G421" s="2">
        <v>35000</v>
      </c>
      <c r="H421" t="s">
        <v>10</v>
      </c>
      <c r="I421" s="2">
        <f t="shared" si="23"/>
        <v>884000</v>
      </c>
      <c r="J421" s="2">
        <f t="shared" si="22"/>
        <v>919000</v>
      </c>
    </row>
    <row r="422" spans="1:10">
      <c r="A422" s="7" t="s">
        <v>463</v>
      </c>
      <c r="B422" s="7" t="s">
        <v>412</v>
      </c>
      <c r="C422" t="s">
        <v>415</v>
      </c>
      <c r="D422" s="7" t="str">
        <f t="shared" si="21"/>
        <v>Entry</v>
      </c>
      <c r="E422" s="2">
        <v>610000</v>
      </c>
      <c r="F422" s="2">
        <v>71000</v>
      </c>
      <c r="G422" s="2">
        <v>15000</v>
      </c>
      <c r="H422" t="s">
        <v>10</v>
      </c>
      <c r="I422" s="2">
        <f t="shared" si="23"/>
        <v>681000</v>
      </c>
      <c r="J422" s="2">
        <f t="shared" si="22"/>
        <v>696000</v>
      </c>
    </row>
    <row r="423" spans="1:10">
      <c r="A423" s="7" t="s">
        <v>464</v>
      </c>
      <c r="B423" s="7" t="s">
        <v>412</v>
      </c>
      <c r="C423" t="s">
        <v>415</v>
      </c>
      <c r="D423" s="7" t="str">
        <f t="shared" si="21"/>
        <v>Entry</v>
      </c>
      <c r="E423" s="2">
        <v>669000</v>
      </c>
      <c r="F423" s="2">
        <v>67000</v>
      </c>
      <c r="G423" s="2">
        <v>30000</v>
      </c>
      <c r="H423" t="s">
        <v>10</v>
      </c>
      <c r="I423" s="2">
        <f t="shared" si="23"/>
        <v>736000</v>
      </c>
      <c r="J423" s="2">
        <f t="shared" si="22"/>
        <v>766000</v>
      </c>
    </row>
    <row r="424" spans="1:10">
      <c r="A424" s="7" t="s">
        <v>465</v>
      </c>
      <c r="B424" s="7" t="s">
        <v>412</v>
      </c>
      <c r="C424" t="s">
        <v>429</v>
      </c>
      <c r="D424" s="7" t="str">
        <f t="shared" si="21"/>
        <v>Mid</v>
      </c>
      <c r="E424" s="2">
        <v>702000</v>
      </c>
      <c r="F424" s="2">
        <v>73000</v>
      </c>
      <c r="G424" s="2">
        <v>20000</v>
      </c>
      <c r="H424" t="s">
        <v>10</v>
      </c>
      <c r="I424" s="2">
        <f t="shared" si="23"/>
        <v>775000</v>
      </c>
      <c r="J424" s="2">
        <f t="shared" si="22"/>
        <v>795000</v>
      </c>
    </row>
    <row r="425" spans="1:10">
      <c r="A425" s="7" t="s">
        <v>466</v>
      </c>
      <c r="B425" s="7" t="s">
        <v>412</v>
      </c>
      <c r="C425" t="s">
        <v>413</v>
      </c>
      <c r="D425" s="7" t="str">
        <f t="shared" si="21"/>
        <v>Mid</v>
      </c>
      <c r="E425" s="2">
        <v>669000</v>
      </c>
      <c r="F425" s="2">
        <v>76000</v>
      </c>
      <c r="G425" s="2">
        <v>30000</v>
      </c>
      <c r="H425" t="s">
        <v>13</v>
      </c>
      <c r="I425" s="2">
        <f t="shared" si="23"/>
        <v>745000</v>
      </c>
      <c r="J425" s="2">
        <f t="shared" si="22"/>
        <v>775000</v>
      </c>
    </row>
    <row r="426" spans="1:10">
      <c r="A426" s="7" t="s">
        <v>467</v>
      </c>
      <c r="B426" s="7" t="s">
        <v>412</v>
      </c>
      <c r="C426" t="s">
        <v>468</v>
      </c>
      <c r="D426" s="7" t="str">
        <f t="shared" si="21"/>
        <v>Leadership</v>
      </c>
      <c r="E426" s="2">
        <v>1051000</v>
      </c>
      <c r="F426" s="2">
        <v>115000</v>
      </c>
      <c r="G426" s="2">
        <v>22000</v>
      </c>
      <c r="H426" t="s">
        <v>10</v>
      </c>
      <c r="I426" s="2">
        <f t="shared" si="23"/>
        <v>1166000</v>
      </c>
      <c r="J426" s="2">
        <f t="shared" si="22"/>
        <v>1188000</v>
      </c>
    </row>
    <row r="427" spans="1:10">
      <c r="A427" s="7" t="s">
        <v>469</v>
      </c>
      <c r="B427" s="7" t="s">
        <v>412</v>
      </c>
      <c r="C427" t="s">
        <v>425</v>
      </c>
      <c r="D427" s="7" t="str">
        <f t="shared" si="21"/>
        <v>Mid</v>
      </c>
      <c r="E427" s="2">
        <v>624000</v>
      </c>
      <c r="F427" s="2">
        <v>87000</v>
      </c>
      <c r="G427" s="2">
        <v>15000</v>
      </c>
      <c r="H427" t="s">
        <v>10</v>
      </c>
      <c r="I427" s="2">
        <f t="shared" si="23"/>
        <v>711000</v>
      </c>
      <c r="J427" s="2">
        <f t="shared" si="22"/>
        <v>726000</v>
      </c>
    </row>
    <row r="428" spans="1:10">
      <c r="A428" s="7" t="s">
        <v>470</v>
      </c>
      <c r="B428" s="7" t="s">
        <v>412</v>
      </c>
      <c r="C428" t="s">
        <v>417</v>
      </c>
      <c r="D428" s="7" t="str">
        <f t="shared" si="21"/>
        <v>Senior</v>
      </c>
      <c r="E428" s="2">
        <v>817000</v>
      </c>
      <c r="F428" s="2">
        <v>84000</v>
      </c>
      <c r="G428" s="2">
        <v>15000</v>
      </c>
      <c r="H428" t="s">
        <v>10</v>
      </c>
      <c r="I428" s="2">
        <f t="shared" si="23"/>
        <v>901000</v>
      </c>
      <c r="J428" s="2">
        <f t="shared" si="22"/>
        <v>916000</v>
      </c>
    </row>
    <row r="429" spans="1:10">
      <c r="A429" s="7" t="s">
        <v>471</v>
      </c>
      <c r="B429" s="7" t="s">
        <v>412</v>
      </c>
      <c r="C429" t="s">
        <v>415</v>
      </c>
      <c r="D429" s="7" t="str">
        <f t="shared" si="21"/>
        <v>Entry</v>
      </c>
      <c r="E429" s="2">
        <v>652000</v>
      </c>
      <c r="F429" s="2">
        <v>82000</v>
      </c>
      <c r="G429" s="2">
        <v>28000</v>
      </c>
      <c r="H429" t="s">
        <v>10</v>
      </c>
      <c r="I429" s="2">
        <f t="shared" si="23"/>
        <v>734000</v>
      </c>
      <c r="J429" s="2">
        <f t="shared" si="22"/>
        <v>762000</v>
      </c>
    </row>
    <row r="430" spans="1:10">
      <c r="A430" s="7" t="s">
        <v>472</v>
      </c>
      <c r="B430" s="7" t="s">
        <v>412</v>
      </c>
      <c r="C430" t="s">
        <v>429</v>
      </c>
      <c r="D430" s="7" t="str">
        <f t="shared" si="21"/>
        <v>Mid</v>
      </c>
      <c r="E430" s="2">
        <v>700000</v>
      </c>
      <c r="F430" s="2">
        <v>85000</v>
      </c>
      <c r="G430" s="2">
        <v>15000</v>
      </c>
      <c r="H430" t="s">
        <v>10</v>
      </c>
      <c r="I430" s="2">
        <f t="shared" si="23"/>
        <v>785000</v>
      </c>
      <c r="J430" s="2">
        <f t="shared" si="22"/>
        <v>800000</v>
      </c>
    </row>
    <row r="431" spans="1:10">
      <c r="A431" s="7" t="s">
        <v>473</v>
      </c>
      <c r="B431" s="7" t="s">
        <v>412</v>
      </c>
      <c r="C431" t="s">
        <v>429</v>
      </c>
      <c r="D431" s="7" t="str">
        <f t="shared" si="21"/>
        <v>Mid</v>
      </c>
      <c r="E431" s="2">
        <v>800000</v>
      </c>
      <c r="F431" s="2">
        <v>98000</v>
      </c>
      <c r="G431" s="2">
        <v>25000</v>
      </c>
      <c r="H431" t="s">
        <v>13</v>
      </c>
      <c r="I431" s="2">
        <f t="shared" si="23"/>
        <v>898000</v>
      </c>
      <c r="J431" s="2">
        <f t="shared" si="22"/>
        <v>923000</v>
      </c>
    </row>
    <row r="432" spans="1:10">
      <c r="A432" s="7" t="s">
        <v>474</v>
      </c>
      <c r="B432" s="7" t="s">
        <v>412</v>
      </c>
      <c r="C432" t="s">
        <v>415</v>
      </c>
      <c r="D432" s="7" t="str">
        <f t="shared" si="21"/>
        <v>Entry</v>
      </c>
      <c r="E432" s="2">
        <v>662000</v>
      </c>
      <c r="F432" s="2">
        <v>90000</v>
      </c>
      <c r="G432" s="2">
        <v>15000</v>
      </c>
      <c r="H432" t="s">
        <v>10</v>
      </c>
      <c r="I432" s="2">
        <f t="shared" si="23"/>
        <v>752000</v>
      </c>
      <c r="J432" s="2">
        <f t="shared" si="22"/>
        <v>767000</v>
      </c>
    </row>
    <row r="433" spans="1:10">
      <c r="A433" s="7" t="s">
        <v>475</v>
      </c>
      <c r="B433" s="7" t="s">
        <v>412</v>
      </c>
      <c r="C433" t="s">
        <v>429</v>
      </c>
      <c r="D433" s="7" t="str">
        <f t="shared" si="21"/>
        <v>Mid</v>
      </c>
      <c r="E433" s="2">
        <v>687000</v>
      </c>
      <c r="F433" s="2">
        <v>74000</v>
      </c>
      <c r="G433" s="2">
        <v>20000</v>
      </c>
      <c r="H433" t="s">
        <v>10</v>
      </c>
      <c r="I433" s="2">
        <f t="shared" si="23"/>
        <v>761000</v>
      </c>
      <c r="J433" s="2">
        <f t="shared" si="22"/>
        <v>781000</v>
      </c>
    </row>
    <row r="434" spans="1:10">
      <c r="A434" s="7" t="s">
        <v>476</v>
      </c>
      <c r="B434" s="7" t="s">
        <v>412</v>
      </c>
      <c r="C434" t="s">
        <v>413</v>
      </c>
      <c r="D434" s="7" t="str">
        <f t="shared" si="21"/>
        <v>Mid</v>
      </c>
      <c r="E434" s="2">
        <v>691000</v>
      </c>
      <c r="F434" s="2">
        <v>71000</v>
      </c>
      <c r="G434" s="2">
        <v>20000</v>
      </c>
      <c r="H434" t="s">
        <v>10</v>
      </c>
      <c r="I434" s="2">
        <f t="shared" si="23"/>
        <v>762000</v>
      </c>
      <c r="J434" s="2">
        <f t="shared" si="22"/>
        <v>782000</v>
      </c>
    </row>
    <row r="435" spans="1:10">
      <c r="A435" s="7" t="s">
        <v>477</v>
      </c>
      <c r="B435" s="7" t="s">
        <v>412</v>
      </c>
      <c r="C435" t="s">
        <v>417</v>
      </c>
      <c r="D435" s="7" t="str">
        <f t="shared" si="21"/>
        <v>Senior</v>
      </c>
      <c r="E435" s="2">
        <v>870000</v>
      </c>
      <c r="F435" s="2">
        <v>111000</v>
      </c>
      <c r="G435" s="2">
        <v>28000</v>
      </c>
      <c r="H435" t="s">
        <v>10</v>
      </c>
      <c r="I435" s="2">
        <f t="shared" si="23"/>
        <v>981000</v>
      </c>
      <c r="J435" s="2">
        <f t="shared" si="22"/>
        <v>1009000</v>
      </c>
    </row>
    <row r="436" spans="1:10">
      <c r="A436" s="7" t="s">
        <v>478</v>
      </c>
      <c r="B436" s="7" t="s">
        <v>412</v>
      </c>
      <c r="C436" t="s">
        <v>425</v>
      </c>
      <c r="D436" s="7" t="str">
        <f t="shared" si="21"/>
        <v>Mid</v>
      </c>
      <c r="E436" s="2">
        <v>730000</v>
      </c>
      <c r="F436" s="2">
        <v>93000</v>
      </c>
      <c r="G436" s="2">
        <v>18000</v>
      </c>
      <c r="H436" t="s">
        <v>10</v>
      </c>
      <c r="I436" s="2">
        <f t="shared" si="23"/>
        <v>823000</v>
      </c>
      <c r="J436" s="2">
        <f t="shared" si="22"/>
        <v>841000</v>
      </c>
    </row>
    <row r="437" spans="1:10">
      <c r="A437" s="7" t="s">
        <v>479</v>
      </c>
      <c r="B437" s="7" t="s">
        <v>412</v>
      </c>
      <c r="C437" t="s">
        <v>468</v>
      </c>
      <c r="D437" s="7" t="str">
        <f t="shared" si="21"/>
        <v>Leadership</v>
      </c>
      <c r="E437" s="2">
        <v>957000</v>
      </c>
      <c r="F437" s="2">
        <v>112000</v>
      </c>
      <c r="G437" s="2">
        <v>18000</v>
      </c>
      <c r="H437" t="s">
        <v>10</v>
      </c>
      <c r="I437" s="2">
        <f t="shared" si="23"/>
        <v>1069000</v>
      </c>
      <c r="J437" s="2">
        <f t="shared" si="22"/>
        <v>1087000</v>
      </c>
    </row>
    <row r="438" spans="1:10">
      <c r="A438" s="7" t="s">
        <v>480</v>
      </c>
      <c r="B438" s="7" t="s">
        <v>412</v>
      </c>
      <c r="C438" t="s">
        <v>425</v>
      </c>
      <c r="D438" s="7" t="str">
        <f t="shared" si="21"/>
        <v>Mid</v>
      </c>
      <c r="E438" s="2">
        <v>755000</v>
      </c>
      <c r="F438" s="2">
        <v>87000</v>
      </c>
      <c r="G438" s="2">
        <v>28000</v>
      </c>
      <c r="H438" t="s">
        <v>13</v>
      </c>
      <c r="I438" s="2">
        <f t="shared" si="23"/>
        <v>842000</v>
      </c>
      <c r="J438" s="2">
        <f t="shared" si="22"/>
        <v>870000</v>
      </c>
    </row>
    <row r="439" spans="1:10">
      <c r="A439" s="7" t="s">
        <v>481</v>
      </c>
      <c r="B439" s="7" t="s">
        <v>412</v>
      </c>
      <c r="C439" t="s">
        <v>415</v>
      </c>
      <c r="D439" s="7" t="str">
        <f t="shared" si="21"/>
        <v>Entry</v>
      </c>
      <c r="E439" s="2">
        <v>671000</v>
      </c>
      <c r="F439" s="2">
        <v>80000</v>
      </c>
      <c r="G439" s="2">
        <v>28000</v>
      </c>
      <c r="H439" t="s">
        <v>10</v>
      </c>
      <c r="I439" s="2">
        <f t="shared" si="23"/>
        <v>751000</v>
      </c>
      <c r="J439" s="2">
        <f t="shared" si="22"/>
        <v>779000</v>
      </c>
    </row>
    <row r="440" spans="1:10">
      <c r="A440" s="7" t="s">
        <v>482</v>
      </c>
      <c r="B440" s="7" t="s">
        <v>412</v>
      </c>
      <c r="C440" t="s">
        <v>417</v>
      </c>
      <c r="D440" s="7" t="str">
        <f t="shared" si="21"/>
        <v>Senior</v>
      </c>
      <c r="E440" s="2">
        <v>753000</v>
      </c>
      <c r="F440" s="2">
        <v>93000</v>
      </c>
      <c r="G440" s="2">
        <v>30000</v>
      </c>
      <c r="H440" t="s">
        <v>10</v>
      </c>
      <c r="I440" s="2">
        <f t="shared" si="23"/>
        <v>846000</v>
      </c>
      <c r="J440" s="2">
        <f t="shared" si="22"/>
        <v>876000</v>
      </c>
    </row>
    <row r="441" spans="1:10">
      <c r="A441" s="7" t="s">
        <v>483</v>
      </c>
      <c r="B441" s="7" t="s">
        <v>412</v>
      </c>
      <c r="C441" t="s">
        <v>413</v>
      </c>
      <c r="D441" s="7" t="str">
        <f t="shared" si="21"/>
        <v>Mid</v>
      </c>
      <c r="E441" s="2">
        <v>753000</v>
      </c>
      <c r="F441" s="2">
        <v>97000</v>
      </c>
      <c r="G441" s="2">
        <v>18000</v>
      </c>
      <c r="H441" t="s">
        <v>10</v>
      </c>
      <c r="I441" s="2">
        <f t="shared" si="23"/>
        <v>850000</v>
      </c>
      <c r="J441" s="2">
        <f t="shared" si="22"/>
        <v>868000</v>
      </c>
    </row>
    <row r="442" spans="1:10">
      <c r="A442" s="7" t="s">
        <v>484</v>
      </c>
      <c r="B442" s="7" t="s">
        <v>412</v>
      </c>
      <c r="C442" t="s">
        <v>417</v>
      </c>
      <c r="D442" s="7" t="str">
        <f t="shared" si="21"/>
        <v>Senior</v>
      </c>
      <c r="E442" s="2">
        <v>858000</v>
      </c>
      <c r="F442" s="2">
        <v>91000</v>
      </c>
      <c r="G442" s="2">
        <v>30000</v>
      </c>
      <c r="H442" t="s">
        <v>10</v>
      </c>
      <c r="I442" s="2">
        <f t="shared" si="23"/>
        <v>949000</v>
      </c>
      <c r="J442" s="2">
        <f t="shared" si="22"/>
        <v>979000</v>
      </c>
    </row>
    <row r="443" spans="1:10">
      <c r="A443" s="7" t="s">
        <v>485</v>
      </c>
      <c r="B443" s="7" t="s">
        <v>412</v>
      </c>
      <c r="C443" t="s">
        <v>415</v>
      </c>
      <c r="D443" s="7" t="str">
        <f t="shared" si="21"/>
        <v>Entry</v>
      </c>
      <c r="E443" s="2">
        <v>541000</v>
      </c>
      <c r="F443" s="2">
        <v>61000</v>
      </c>
      <c r="G443" s="2">
        <v>28000</v>
      </c>
      <c r="H443" t="s">
        <v>10</v>
      </c>
      <c r="I443" s="2">
        <f t="shared" si="23"/>
        <v>602000</v>
      </c>
      <c r="J443" s="2">
        <f t="shared" si="22"/>
        <v>630000</v>
      </c>
    </row>
    <row r="444" spans="1:10">
      <c r="A444" s="7" t="s">
        <v>486</v>
      </c>
      <c r="B444" s="7" t="s">
        <v>412</v>
      </c>
      <c r="C444" t="s">
        <v>415</v>
      </c>
      <c r="D444" s="7" t="str">
        <f t="shared" si="21"/>
        <v>Entry</v>
      </c>
      <c r="E444" s="2">
        <v>552000</v>
      </c>
      <c r="F444" s="2">
        <v>65000</v>
      </c>
      <c r="G444" s="2">
        <v>30000</v>
      </c>
      <c r="H444" t="s">
        <v>10</v>
      </c>
      <c r="I444" s="2">
        <f t="shared" si="23"/>
        <v>617000</v>
      </c>
      <c r="J444" s="2">
        <f t="shared" si="22"/>
        <v>647000</v>
      </c>
    </row>
    <row r="445" spans="1:10">
      <c r="A445" s="7" t="s">
        <v>487</v>
      </c>
      <c r="B445" s="7" t="s">
        <v>412</v>
      </c>
      <c r="C445" t="s">
        <v>415</v>
      </c>
      <c r="D445" s="7" t="str">
        <f t="shared" si="21"/>
        <v>Entry</v>
      </c>
      <c r="E445" s="2">
        <v>613000</v>
      </c>
      <c r="F445" s="2">
        <v>76000</v>
      </c>
      <c r="G445" s="2">
        <v>28000</v>
      </c>
      <c r="H445" t="s">
        <v>10</v>
      </c>
      <c r="I445" s="2">
        <f t="shared" si="23"/>
        <v>689000</v>
      </c>
      <c r="J445" s="2">
        <f t="shared" si="22"/>
        <v>717000</v>
      </c>
    </row>
    <row r="446" spans="1:10">
      <c r="A446" s="7" t="s">
        <v>488</v>
      </c>
      <c r="B446" s="7" t="s">
        <v>412</v>
      </c>
      <c r="C446" t="s">
        <v>415</v>
      </c>
      <c r="D446" s="7" t="str">
        <f t="shared" si="21"/>
        <v>Entry</v>
      </c>
      <c r="E446" s="2">
        <v>595000</v>
      </c>
      <c r="F446" s="2">
        <v>78000</v>
      </c>
      <c r="G446" s="2">
        <v>22000</v>
      </c>
      <c r="H446" t="s">
        <v>10</v>
      </c>
      <c r="I446" s="2">
        <f t="shared" si="23"/>
        <v>673000</v>
      </c>
      <c r="J446" s="2">
        <f t="shared" si="22"/>
        <v>695000</v>
      </c>
    </row>
    <row r="447" spans="1:10">
      <c r="A447" s="7" t="s">
        <v>489</v>
      </c>
      <c r="B447" s="7" t="s">
        <v>412</v>
      </c>
      <c r="C447" t="s">
        <v>415</v>
      </c>
      <c r="D447" s="7" t="str">
        <f t="shared" si="21"/>
        <v>Entry</v>
      </c>
      <c r="E447" s="2">
        <v>590000</v>
      </c>
      <c r="F447" s="2">
        <v>62000</v>
      </c>
      <c r="G447" s="2">
        <v>25000</v>
      </c>
      <c r="H447" t="s">
        <v>10</v>
      </c>
      <c r="I447" s="2">
        <f t="shared" si="23"/>
        <v>652000</v>
      </c>
      <c r="J447" s="2">
        <f t="shared" si="22"/>
        <v>677000</v>
      </c>
    </row>
    <row r="448" spans="1:10">
      <c r="A448" s="7" t="s">
        <v>490</v>
      </c>
      <c r="B448" s="7" t="s">
        <v>412</v>
      </c>
      <c r="C448" t="s">
        <v>415</v>
      </c>
      <c r="D448" s="7" t="str">
        <f t="shared" si="21"/>
        <v>Entry</v>
      </c>
      <c r="E448" s="2">
        <v>562000</v>
      </c>
      <c r="F448" s="2">
        <v>62000</v>
      </c>
      <c r="G448" s="2">
        <v>25000</v>
      </c>
      <c r="H448" t="s">
        <v>10</v>
      </c>
      <c r="I448" s="2">
        <f t="shared" si="23"/>
        <v>624000</v>
      </c>
      <c r="J448" s="2">
        <f t="shared" si="22"/>
        <v>649000</v>
      </c>
    </row>
    <row r="449" spans="1:10">
      <c r="A449" s="7" t="s">
        <v>491</v>
      </c>
      <c r="B449" s="7" t="s">
        <v>412</v>
      </c>
      <c r="C449" t="s">
        <v>415</v>
      </c>
      <c r="D449" s="7" t="str">
        <f t="shared" si="21"/>
        <v>Entry</v>
      </c>
      <c r="E449" s="2">
        <v>573000</v>
      </c>
      <c r="F449" s="2">
        <v>63000</v>
      </c>
      <c r="G449" s="2">
        <v>35000</v>
      </c>
      <c r="H449" t="s">
        <v>10</v>
      </c>
      <c r="I449" s="2">
        <f t="shared" si="23"/>
        <v>636000</v>
      </c>
      <c r="J449" s="2">
        <f t="shared" si="22"/>
        <v>671000</v>
      </c>
    </row>
    <row r="450" spans="1:10">
      <c r="A450" s="7" t="s">
        <v>492</v>
      </c>
      <c r="B450" s="7" t="s">
        <v>412</v>
      </c>
      <c r="C450" t="s">
        <v>415</v>
      </c>
      <c r="D450" s="7" t="str">
        <f t="shared" si="21"/>
        <v>Entry</v>
      </c>
      <c r="E450" s="2">
        <v>554000</v>
      </c>
      <c r="F450" s="2">
        <v>62000</v>
      </c>
      <c r="G450" s="2">
        <v>30000</v>
      </c>
      <c r="H450" t="s">
        <v>10</v>
      </c>
      <c r="I450" s="2">
        <f t="shared" si="23"/>
        <v>616000</v>
      </c>
      <c r="J450" s="2">
        <f t="shared" si="22"/>
        <v>646000</v>
      </c>
    </row>
    <row r="451" spans="1:10">
      <c r="A451" s="7" t="s">
        <v>493</v>
      </c>
      <c r="B451" s="7" t="s">
        <v>412</v>
      </c>
      <c r="C451" t="s">
        <v>413</v>
      </c>
      <c r="D451" s="7" t="str">
        <f t="shared" ref="D451:D501" si="24">IF(OR(ISNUMBER(SEARCH("Manager",C451)),ISNUMBER(SEARCH("Controller",C451))),"Leadership",IF(OR(ISNUMBER(SEARCH("Senior",C451)),ISNUMBER(SEARCH("Regional",C451))),"Senior",IF(OR(ISNUMBER(SEARCH("Engineer",C451)),ISNUMBER(SEARCH("Analyst",C451)),ISNUMBER(SEARCH("Specialist",C451)),ISNUMBER(SEARCH("Business Partner",C451)),ISNUMBER(SEARCH("Account Manager",C451))),"Mid","Entry")))</f>
        <v>Mid</v>
      </c>
      <c r="E451" s="2">
        <v>754000</v>
      </c>
      <c r="F451" s="2">
        <v>85000</v>
      </c>
      <c r="G451" s="2">
        <v>28000</v>
      </c>
      <c r="H451" t="s">
        <v>10</v>
      </c>
      <c r="I451" s="2">
        <f t="shared" si="23"/>
        <v>839000</v>
      </c>
      <c r="J451" s="2">
        <f t="shared" ref="J451:J501" si="25">I451+G451</f>
        <v>867000</v>
      </c>
    </row>
    <row r="452" spans="1:10">
      <c r="A452" s="7" t="s">
        <v>494</v>
      </c>
      <c r="B452" s="7" t="s">
        <v>412</v>
      </c>
      <c r="C452" t="s">
        <v>425</v>
      </c>
      <c r="D452" s="7" t="str">
        <f t="shared" si="24"/>
        <v>Mid</v>
      </c>
      <c r="E452" s="2">
        <v>709000</v>
      </c>
      <c r="F452" s="2">
        <v>88000</v>
      </c>
      <c r="G452" s="2">
        <v>25000</v>
      </c>
      <c r="H452" t="s">
        <v>10</v>
      </c>
      <c r="I452" s="2">
        <f t="shared" si="23"/>
        <v>797000</v>
      </c>
      <c r="J452" s="2">
        <f t="shared" si="25"/>
        <v>822000</v>
      </c>
    </row>
    <row r="453" spans="1:10">
      <c r="A453" s="7" t="s">
        <v>495</v>
      </c>
      <c r="B453" s="7" t="s">
        <v>412</v>
      </c>
      <c r="C453" t="s">
        <v>468</v>
      </c>
      <c r="D453" s="7" t="str">
        <f t="shared" si="24"/>
        <v>Leadership</v>
      </c>
      <c r="E453" s="2">
        <v>991000</v>
      </c>
      <c r="F453" s="2">
        <v>112000</v>
      </c>
      <c r="G453" s="2">
        <v>30000</v>
      </c>
      <c r="H453" t="s">
        <v>10</v>
      </c>
      <c r="I453" s="2">
        <f t="shared" si="23"/>
        <v>1103000</v>
      </c>
      <c r="J453" s="2">
        <f t="shared" si="25"/>
        <v>1133000</v>
      </c>
    </row>
    <row r="454" spans="1:10">
      <c r="A454" s="7" t="s">
        <v>496</v>
      </c>
      <c r="B454" s="7" t="s">
        <v>412</v>
      </c>
      <c r="C454" t="s">
        <v>415</v>
      </c>
      <c r="D454" s="7" t="str">
        <f t="shared" si="24"/>
        <v>Entry</v>
      </c>
      <c r="E454" s="2">
        <v>632000</v>
      </c>
      <c r="F454" s="2">
        <v>76000</v>
      </c>
      <c r="G454" s="2">
        <v>22000</v>
      </c>
      <c r="H454" t="s">
        <v>10</v>
      </c>
      <c r="I454" s="2">
        <f t="shared" si="23"/>
        <v>708000</v>
      </c>
      <c r="J454" s="2">
        <f t="shared" si="25"/>
        <v>730000</v>
      </c>
    </row>
    <row r="455" spans="1:10">
      <c r="A455" s="7" t="s">
        <v>497</v>
      </c>
      <c r="B455" s="7" t="s">
        <v>412</v>
      </c>
      <c r="C455" t="s">
        <v>415</v>
      </c>
      <c r="D455" s="7" t="str">
        <f t="shared" si="24"/>
        <v>Entry</v>
      </c>
      <c r="E455" s="2">
        <v>644000</v>
      </c>
      <c r="F455" s="2">
        <v>74000</v>
      </c>
      <c r="G455" s="2">
        <v>22000</v>
      </c>
      <c r="H455" t="s">
        <v>10</v>
      </c>
      <c r="I455" s="2">
        <f t="shared" si="23"/>
        <v>718000</v>
      </c>
      <c r="J455" s="2">
        <f t="shared" si="25"/>
        <v>740000</v>
      </c>
    </row>
    <row r="456" spans="1:10">
      <c r="A456" s="7" t="s">
        <v>498</v>
      </c>
      <c r="B456" s="7" t="s">
        <v>412</v>
      </c>
      <c r="C456" t="s">
        <v>417</v>
      </c>
      <c r="D456" s="7" t="str">
        <f t="shared" si="24"/>
        <v>Senior</v>
      </c>
      <c r="E456" s="2">
        <v>840000</v>
      </c>
      <c r="F456" s="2">
        <v>102000</v>
      </c>
      <c r="G456" s="2">
        <v>35000</v>
      </c>
      <c r="H456" t="s">
        <v>10</v>
      </c>
      <c r="I456" s="2">
        <f t="shared" si="23"/>
        <v>942000</v>
      </c>
      <c r="J456" s="2">
        <f t="shared" si="25"/>
        <v>977000</v>
      </c>
    </row>
    <row r="457" spans="1:10">
      <c r="A457" s="7" t="s">
        <v>499</v>
      </c>
      <c r="B457" s="7" t="s">
        <v>412</v>
      </c>
      <c r="C457" t="s">
        <v>415</v>
      </c>
      <c r="D457" s="7" t="str">
        <f t="shared" si="24"/>
        <v>Entry</v>
      </c>
      <c r="E457" s="2">
        <v>645000</v>
      </c>
      <c r="F457" s="2">
        <v>86000</v>
      </c>
      <c r="G457" s="2">
        <v>18000</v>
      </c>
      <c r="H457" t="s">
        <v>10</v>
      </c>
      <c r="I457" s="2">
        <f t="shared" si="23"/>
        <v>731000</v>
      </c>
      <c r="J457" s="2">
        <f t="shared" si="25"/>
        <v>749000</v>
      </c>
    </row>
    <row r="458" spans="1:10">
      <c r="A458" s="7" t="s">
        <v>500</v>
      </c>
      <c r="B458" s="7" t="s">
        <v>412</v>
      </c>
      <c r="C458" t="s">
        <v>425</v>
      </c>
      <c r="D458" s="7" t="str">
        <f t="shared" si="24"/>
        <v>Mid</v>
      </c>
      <c r="E458" s="2">
        <v>673000</v>
      </c>
      <c r="F458" s="2">
        <v>81000</v>
      </c>
      <c r="G458" s="2">
        <v>25000</v>
      </c>
      <c r="H458" t="s">
        <v>10</v>
      </c>
      <c r="I458" s="2">
        <f t="shared" si="23"/>
        <v>754000</v>
      </c>
      <c r="J458" s="2">
        <f t="shared" si="25"/>
        <v>779000</v>
      </c>
    </row>
    <row r="459" spans="1:10">
      <c r="A459" s="7" t="s">
        <v>501</v>
      </c>
      <c r="B459" s="7" t="s">
        <v>412</v>
      </c>
      <c r="C459" t="s">
        <v>413</v>
      </c>
      <c r="D459" s="7" t="str">
        <f t="shared" si="24"/>
        <v>Mid</v>
      </c>
      <c r="E459" s="2">
        <v>740000</v>
      </c>
      <c r="F459" s="2">
        <v>97000</v>
      </c>
      <c r="G459" s="2">
        <v>18000</v>
      </c>
      <c r="H459" t="s">
        <v>10</v>
      </c>
      <c r="I459" s="2">
        <f t="shared" si="23"/>
        <v>837000</v>
      </c>
      <c r="J459" s="2">
        <f t="shared" si="25"/>
        <v>855000</v>
      </c>
    </row>
    <row r="460" spans="1:10">
      <c r="A460" s="7" t="s">
        <v>502</v>
      </c>
      <c r="B460" s="7" t="s">
        <v>412</v>
      </c>
      <c r="C460" t="s">
        <v>413</v>
      </c>
      <c r="D460" s="7" t="str">
        <f t="shared" si="24"/>
        <v>Mid</v>
      </c>
      <c r="E460" s="2">
        <v>720000</v>
      </c>
      <c r="F460" s="2">
        <v>87000</v>
      </c>
      <c r="G460" s="2">
        <v>30000</v>
      </c>
      <c r="H460" t="s">
        <v>10</v>
      </c>
      <c r="I460" s="2">
        <f t="shared" si="23"/>
        <v>807000</v>
      </c>
      <c r="J460" s="2">
        <f t="shared" si="25"/>
        <v>837000</v>
      </c>
    </row>
    <row r="461" spans="1:10">
      <c r="A461" s="7" t="s">
        <v>503</v>
      </c>
      <c r="B461" s="7" t="s">
        <v>412</v>
      </c>
      <c r="C461" t="s">
        <v>425</v>
      </c>
      <c r="D461" s="7" t="str">
        <f t="shared" si="24"/>
        <v>Mid</v>
      </c>
      <c r="E461" s="2">
        <v>666000</v>
      </c>
      <c r="F461" s="2">
        <v>90000</v>
      </c>
      <c r="G461" s="2">
        <v>18000</v>
      </c>
      <c r="H461" t="s">
        <v>10</v>
      </c>
      <c r="I461" s="2">
        <f t="shared" si="23"/>
        <v>756000</v>
      </c>
      <c r="J461" s="2">
        <f t="shared" si="25"/>
        <v>774000</v>
      </c>
    </row>
    <row r="462" spans="1:10">
      <c r="A462" s="7" t="s">
        <v>504</v>
      </c>
      <c r="B462" s="7" t="s">
        <v>412</v>
      </c>
      <c r="C462" t="s">
        <v>415</v>
      </c>
      <c r="D462" s="7" t="str">
        <f t="shared" si="24"/>
        <v>Entry</v>
      </c>
      <c r="E462" s="2">
        <v>628000</v>
      </c>
      <c r="F462" s="2">
        <v>67000</v>
      </c>
      <c r="G462" s="2">
        <v>15000</v>
      </c>
      <c r="H462" t="s">
        <v>10</v>
      </c>
      <c r="I462" s="2">
        <f t="shared" si="23"/>
        <v>695000</v>
      </c>
      <c r="J462" s="2">
        <f t="shared" si="25"/>
        <v>710000</v>
      </c>
    </row>
    <row r="463" spans="1:10">
      <c r="A463" s="7" t="s">
        <v>505</v>
      </c>
      <c r="B463" s="7" t="s">
        <v>412</v>
      </c>
      <c r="C463" t="s">
        <v>413</v>
      </c>
      <c r="D463" s="7" t="str">
        <f t="shared" si="24"/>
        <v>Mid</v>
      </c>
      <c r="E463" s="2">
        <v>730000</v>
      </c>
      <c r="F463" s="2">
        <v>101000</v>
      </c>
      <c r="G463" s="2">
        <v>28000</v>
      </c>
      <c r="H463" t="s">
        <v>10</v>
      </c>
      <c r="I463" s="2">
        <f t="shared" si="23"/>
        <v>831000</v>
      </c>
      <c r="J463" s="2">
        <f t="shared" si="25"/>
        <v>859000</v>
      </c>
    </row>
    <row r="464" spans="1:10">
      <c r="A464" s="7" t="s">
        <v>506</v>
      </c>
      <c r="B464" s="7" t="s">
        <v>412</v>
      </c>
      <c r="C464" t="s">
        <v>417</v>
      </c>
      <c r="D464" s="7" t="str">
        <f t="shared" si="24"/>
        <v>Senior</v>
      </c>
      <c r="E464" s="2">
        <v>722000</v>
      </c>
      <c r="F464" s="2">
        <v>80000</v>
      </c>
      <c r="G464" s="2">
        <v>22000</v>
      </c>
      <c r="H464" t="s">
        <v>10</v>
      </c>
      <c r="I464" s="2">
        <f t="shared" ref="I464:I501" si="26">E464+F464</f>
        <v>802000</v>
      </c>
      <c r="J464" s="2">
        <f t="shared" si="25"/>
        <v>824000</v>
      </c>
    </row>
    <row r="465" spans="1:10">
      <c r="A465" s="7" t="s">
        <v>507</v>
      </c>
      <c r="B465" s="7" t="s">
        <v>412</v>
      </c>
      <c r="C465" t="s">
        <v>417</v>
      </c>
      <c r="D465" s="7" t="str">
        <f t="shared" si="24"/>
        <v>Senior</v>
      </c>
      <c r="E465" s="2">
        <v>856000</v>
      </c>
      <c r="F465" s="2">
        <v>106000</v>
      </c>
      <c r="G465" s="2">
        <v>20000</v>
      </c>
      <c r="H465" t="s">
        <v>10</v>
      </c>
      <c r="I465" s="2">
        <f t="shared" si="26"/>
        <v>962000</v>
      </c>
      <c r="J465" s="2">
        <f t="shared" si="25"/>
        <v>982000</v>
      </c>
    </row>
    <row r="466" spans="1:10">
      <c r="A466" s="7" t="s">
        <v>508</v>
      </c>
      <c r="B466" s="7" t="s">
        <v>412</v>
      </c>
      <c r="C466" t="s">
        <v>415</v>
      </c>
      <c r="D466" s="7" t="str">
        <f t="shared" si="24"/>
        <v>Entry</v>
      </c>
      <c r="E466" s="2">
        <v>554000</v>
      </c>
      <c r="F466" s="2">
        <v>65000</v>
      </c>
      <c r="G466" s="2">
        <v>18000</v>
      </c>
      <c r="H466" t="s">
        <v>10</v>
      </c>
      <c r="I466" s="2">
        <f t="shared" si="26"/>
        <v>619000</v>
      </c>
      <c r="J466" s="2">
        <f t="shared" si="25"/>
        <v>637000</v>
      </c>
    </row>
    <row r="467" spans="1:10">
      <c r="A467" s="7" t="s">
        <v>509</v>
      </c>
      <c r="B467" s="7" t="s">
        <v>412</v>
      </c>
      <c r="C467" t="s">
        <v>468</v>
      </c>
      <c r="D467" s="7" t="str">
        <f t="shared" si="24"/>
        <v>Leadership</v>
      </c>
      <c r="E467" s="2">
        <v>978000</v>
      </c>
      <c r="F467" s="2">
        <v>110000</v>
      </c>
      <c r="G467" s="2">
        <v>35000</v>
      </c>
      <c r="H467" t="s">
        <v>10</v>
      </c>
      <c r="I467" s="2">
        <f t="shared" si="26"/>
        <v>1088000</v>
      </c>
      <c r="J467" s="2">
        <f t="shared" si="25"/>
        <v>1123000</v>
      </c>
    </row>
    <row r="468" spans="1:10">
      <c r="A468" s="7" t="s">
        <v>510</v>
      </c>
      <c r="B468" s="7" t="s">
        <v>412</v>
      </c>
      <c r="C468" t="s">
        <v>417</v>
      </c>
      <c r="D468" s="7" t="str">
        <f t="shared" si="24"/>
        <v>Senior</v>
      </c>
      <c r="E468" s="2">
        <v>781000</v>
      </c>
      <c r="F468" s="2">
        <v>81000</v>
      </c>
      <c r="G468" s="2">
        <v>35000</v>
      </c>
      <c r="H468" t="s">
        <v>10</v>
      </c>
      <c r="I468" s="2">
        <f t="shared" si="26"/>
        <v>862000</v>
      </c>
      <c r="J468" s="2">
        <f t="shared" si="25"/>
        <v>897000</v>
      </c>
    </row>
    <row r="469" spans="1:10">
      <c r="A469" s="7" t="s">
        <v>511</v>
      </c>
      <c r="B469" s="7" t="s">
        <v>412</v>
      </c>
      <c r="C469" t="s">
        <v>415</v>
      </c>
      <c r="D469" s="7" t="str">
        <f t="shared" si="24"/>
        <v>Entry</v>
      </c>
      <c r="E469" s="2">
        <v>647000</v>
      </c>
      <c r="F469" s="2">
        <v>68000</v>
      </c>
      <c r="G469" s="2">
        <v>28000</v>
      </c>
      <c r="H469" t="s">
        <v>10</v>
      </c>
      <c r="I469" s="2">
        <f t="shared" si="26"/>
        <v>715000</v>
      </c>
      <c r="J469" s="2">
        <f t="shared" si="25"/>
        <v>743000</v>
      </c>
    </row>
    <row r="470" spans="1:10">
      <c r="A470" s="7" t="s">
        <v>512</v>
      </c>
      <c r="B470" s="7" t="s">
        <v>412</v>
      </c>
      <c r="C470" t="s">
        <v>413</v>
      </c>
      <c r="D470" s="7" t="str">
        <f t="shared" si="24"/>
        <v>Mid</v>
      </c>
      <c r="E470" s="2">
        <v>655000</v>
      </c>
      <c r="F470" s="2">
        <v>91000</v>
      </c>
      <c r="G470" s="2">
        <v>22000</v>
      </c>
      <c r="H470" t="s">
        <v>10</v>
      </c>
      <c r="I470" s="2">
        <f t="shared" si="26"/>
        <v>746000</v>
      </c>
      <c r="J470" s="2">
        <f t="shared" si="25"/>
        <v>768000</v>
      </c>
    </row>
    <row r="471" spans="1:10">
      <c r="A471" s="7" t="s">
        <v>513</v>
      </c>
      <c r="B471" s="7" t="s">
        <v>412</v>
      </c>
      <c r="C471" t="s">
        <v>417</v>
      </c>
      <c r="D471" s="7" t="str">
        <f t="shared" si="24"/>
        <v>Senior</v>
      </c>
      <c r="E471" s="2">
        <v>778000</v>
      </c>
      <c r="F471" s="2">
        <v>91000</v>
      </c>
      <c r="G471" s="2">
        <v>35000</v>
      </c>
      <c r="H471" t="s">
        <v>10</v>
      </c>
      <c r="I471" s="2">
        <f t="shared" si="26"/>
        <v>869000</v>
      </c>
      <c r="J471" s="2">
        <f t="shared" si="25"/>
        <v>904000</v>
      </c>
    </row>
    <row r="472" spans="1:10">
      <c r="A472" s="7" t="s">
        <v>514</v>
      </c>
      <c r="B472" s="7" t="s">
        <v>412</v>
      </c>
      <c r="C472" t="s">
        <v>417</v>
      </c>
      <c r="D472" s="7" t="str">
        <f t="shared" si="24"/>
        <v>Senior</v>
      </c>
      <c r="E472" s="2">
        <v>752000</v>
      </c>
      <c r="F472" s="2">
        <v>94000</v>
      </c>
      <c r="G472" s="2">
        <v>30000</v>
      </c>
      <c r="H472" t="s">
        <v>10</v>
      </c>
      <c r="I472" s="2">
        <f t="shared" si="26"/>
        <v>846000</v>
      </c>
      <c r="J472" s="2">
        <f t="shared" si="25"/>
        <v>876000</v>
      </c>
    </row>
    <row r="473" spans="1:10">
      <c r="A473" s="7" t="s">
        <v>515</v>
      </c>
      <c r="B473" s="7" t="s">
        <v>412</v>
      </c>
      <c r="C473" t="s">
        <v>425</v>
      </c>
      <c r="D473" s="7" t="str">
        <f t="shared" si="24"/>
        <v>Mid</v>
      </c>
      <c r="E473" s="2">
        <v>744000</v>
      </c>
      <c r="F473" s="2">
        <v>88000</v>
      </c>
      <c r="G473" s="2">
        <v>30000</v>
      </c>
      <c r="H473" t="s">
        <v>10</v>
      </c>
      <c r="I473" s="2">
        <f t="shared" si="26"/>
        <v>832000</v>
      </c>
      <c r="J473" s="2">
        <f t="shared" si="25"/>
        <v>862000</v>
      </c>
    </row>
    <row r="474" spans="1:10">
      <c r="A474" s="7" t="s">
        <v>516</v>
      </c>
      <c r="B474" s="7" t="s">
        <v>412</v>
      </c>
      <c r="C474" t="s">
        <v>413</v>
      </c>
      <c r="D474" s="7" t="str">
        <f t="shared" si="24"/>
        <v>Mid</v>
      </c>
      <c r="E474" s="2">
        <v>662000</v>
      </c>
      <c r="F474" s="2">
        <v>86000</v>
      </c>
      <c r="G474" s="2">
        <v>18000</v>
      </c>
      <c r="H474" t="s">
        <v>10</v>
      </c>
      <c r="I474" s="2">
        <f t="shared" si="26"/>
        <v>748000</v>
      </c>
      <c r="J474" s="2">
        <f t="shared" si="25"/>
        <v>766000</v>
      </c>
    </row>
    <row r="475" spans="1:10">
      <c r="A475" s="7" t="s">
        <v>517</v>
      </c>
      <c r="B475" s="7" t="s">
        <v>412</v>
      </c>
      <c r="C475" t="s">
        <v>425</v>
      </c>
      <c r="D475" s="7" t="str">
        <f t="shared" si="24"/>
        <v>Mid</v>
      </c>
      <c r="E475" s="2">
        <v>692000</v>
      </c>
      <c r="F475" s="2">
        <v>79000</v>
      </c>
      <c r="G475" s="2">
        <v>22000</v>
      </c>
      <c r="H475" t="s">
        <v>10</v>
      </c>
      <c r="I475" s="2">
        <f t="shared" si="26"/>
        <v>771000</v>
      </c>
      <c r="J475" s="2">
        <f t="shared" si="25"/>
        <v>793000</v>
      </c>
    </row>
    <row r="476" spans="1:10">
      <c r="A476" s="7" t="s">
        <v>518</v>
      </c>
      <c r="B476" s="7" t="s">
        <v>412</v>
      </c>
      <c r="C476" t="s">
        <v>415</v>
      </c>
      <c r="D476" s="7" t="str">
        <f t="shared" si="24"/>
        <v>Entry</v>
      </c>
      <c r="E476" s="2">
        <v>654000</v>
      </c>
      <c r="F476" s="2">
        <v>79000</v>
      </c>
      <c r="G476" s="2">
        <v>28000</v>
      </c>
      <c r="H476" t="s">
        <v>10</v>
      </c>
      <c r="I476" s="2">
        <f t="shared" si="26"/>
        <v>733000</v>
      </c>
      <c r="J476" s="2">
        <f t="shared" si="25"/>
        <v>761000</v>
      </c>
    </row>
    <row r="477" spans="1:10">
      <c r="A477" s="7" t="s">
        <v>519</v>
      </c>
      <c r="B477" s="7" t="s">
        <v>412</v>
      </c>
      <c r="C477" t="s">
        <v>413</v>
      </c>
      <c r="D477" s="7" t="str">
        <f t="shared" si="24"/>
        <v>Mid</v>
      </c>
      <c r="E477" s="2">
        <v>720000</v>
      </c>
      <c r="F477" s="2">
        <v>82000</v>
      </c>
      <c r="G477" s="2">
        <v>35000</v>
      </c>
      <c r="H477" t="s">
        <v>10</v>
      </c>
      <c r="I477" s="2">
        <f t="shared" si="26"/>
        <v>802000</v>
      </c>
      <c r="J477" s="2">
        <f t="shared" si="25"/>
        <v>837000</v>
      </c>
    </row>
    <row r="478" spans="1:10">
      <c r="A478" s="7" t="s">
        <v>520</v>
      </c>
      <c r="B478" s="7" t="s">
        <v>412</v>
      </c>
      <c r="C478" t="s">
        <v>425</v>
      </c>
      <c r="D478" s="7" t="str">
        <f t="shared" si="24"/>
        <v>Mid</v>
      </c>
      <c r="E478" s="2">
        <v>718000</v>
      </c>
      <c r="F478" s="2">
        <v>80000</v>
      </c>
      <c r="G478" s="2">
        <v>18000</v>
      </c>
      <c r="H478" t="s">
        <v>10</v>
      </c>
      <c r="I478" s="2">
        <f t="shared" si="26"/>
        <v>798000</v>
      </c>
      <c r="J478" s="2">
        <f t="shared" si="25"/>
        <v>816000</v>
      </c>
    </row>
    <row r="479" spans="1:10">
      <c r="A479" s="7" t="s">
        <v>521</v>
      </c>
      <c r="B479" s="7" t="s">
        <v>412</v>
      </c>
      <c r="C479" t="s">
        <v>415</v>
      </c>
      <c r="D479" s="7" t="str">
        <f t="shared" si="24"/>
        <v>Entry</v>
      </c>
      <c r="E479" s="2">
        <v>571000</v>
      </c>
      <c r="F479" s="2">
        <v>60000</v>
      </c>
      <c r="G479" s="2">
        <v>28000</v>
      </c>
      <c r="H479" t="s">
        <v>10</v>
      </c>
      <c r="I479" s="2">
        <f t="shared" si="26"/>
        <v>631000</v>
      </c>
      <c r="J479" s="2">
        <f t="shared" si="25"/>
        <v>659000</v>
      </c>
    </row>
    <row r="480" spans="1:10">
      <c r="A480" s="7" t="s">
        <v>522</v>
      </c>
      <c r="B480" s="7" t="s">
        <v>412</v>
      </c>
      <c r="C480" t="s">
        <v>417</v>
      </c>
      <c r="D480" s="7" t="str">
        <f t="shared" si="24"/>
        <v>Senior</v>
      </c>
      <c r="E480" s="2">
        <v>794000</v>
      </c>
      <c r="F480" s="2">
        <v>84000</v>
      </c>
      <c r="G480" s="2">
        <v>30000</v>
      </c>
      <c r="H480" t="s">
        <v>10</v>
      </c>
      <c r="I480" s="2">
        <f t="shared" si="26"/>
        <v>878000</v>
      </c>
      <c r="J480" s="2">
        <f t="shared" si="25"/>
        <v>908000</v>
      </c>
    </row>
    <row r="481" spans="1:10">
      <c r="A481" s="7" t="s">
        <v>523</v>
      </c>
      <c r="B481" s="7" t="s">
        <v>412</v>
      </c>
      <c r="C481" t="s">
        <v>417</v>
      </c>
      <c r="D481" s="7" t="str">
        <f t="shared" si="24"/>
        <v>Senior</v>
      </c>
      <c r="E481" s="2">
        <v>815000</v>
      </c>
      <c r="F481" s="2">
        <v>111000</v>
      </c>
      <c r="G481" s="2">
        <v>20000</v>
      </c>
      <c r="H481" t="s">
        <v>10</v>
      </c>
      <c r="I481" s="2">
        <f t="shared" si="26"/>
        <v>926000</v>
      </c>
      <c r="J481" s="2">
        <f t="shared" si="25"/>
        <v>946000</v>
      </c>
    </row>
    <row r="482" spans="1:10">
      <c r="A482" s="7" t="s">
        <v>524</v>
      </c>
      <c r="B482" s="7" t="s">
        <v>412</v>
      </c>
      <c r="C482" t="s">
        <v>417</v>
      </c>
      <c r="D482" s="7" t="str">
        <f t="shared" si="24"/>
        <v>Senior</v>
      </c>
      <c r="E482" s="2">
        <v>745000</v>
      </c>
      <c r="F482" s="2">
        <v>84000</v>
      </c>
      <c r="G482" s="2">
        <v>35000</v>
      </c>
      <c r="H482" t="s">
        <v>10</v>
      </c>
      <c r="I482" s="2">
        <f t="shared" si="26"/>
        <v>829000</v>
      </c>
      <c r="J482" s="2">
        <f t="shared" si="25"/>
        <v>864000</v>
      </c>
    </row>
    <row r="483" spans="1:10">
      <c r="A483" s="7" t="s">
        <v>525</v>
      </c>
      <c r="B483" s="7" t="s">
        <v>412</v>
      </c>
      <c r="C483" t="s">
        <v>429</v>
      </c>
      <c r="D483" s="7" t="str">
        <f t="shared" si="24"/>
        <v>Mid</v>
      </c>
      <c r="E483" s="2">
        <v>843000</v>
      </c>
      <c r="F483" s="2">
        <v>101000</v>
      </c>
      <c r="G483" s="2">
        <v>22000</v>
      </c>
      <c r="H483" t="s">
        <v>10</v>
      </c>
      <c r="I483" s="2">
        <f t="shared" si="26"/>
        <v>944000</v>
      </c>
      <c r="J483" s="2">
        <f t="shared" si="25"/>
        <v>966000</v>
      </c>
    </row>
    <row r="484" spans="1:10">
      <c r="A484" s="7" t="s">
        <v>526</v>
      </c>
      <c r="B484" s="7" t="s">
        <v>412</v>
      </c>
      <c r="C484" t="s">
        <v>468</v>
      </c>
      <c r="D484" s="7" t="str">
        <f t="shared" si="24"/>
        <v>Leadership</v>
      </c>
      <c r="E484" s="2">
        <v>1062000</v>
      </c>
      <c r="F484" s="2">
        <v>127000</v>
      </c>
      <c r="G484" s="2">
        <v>35000</v>
      </c>
      <c r="H484" t="s">
        <v>10</v>
      </c>
      <c r="I484" s="2">
        <f t="shared" si="26"/>
        <v>1189000</v>
      </c>
      <c r="J484" s="2">
        <f t="shared" si="25"/>
        <v>1224000</v>
      </c>
    </row>
    <row r="485" spans="1:10">
      <c r="A485" s="7" t="s">
        <v>527</v>
      </c>
      <c r="B485" s="7" t="s">
        <v>412</v>
      </c>
      <c r="C485" t="s">
        <v>425</v>
      </c>
      <c r="D485" s="7" t="str">
        <f t="shared" si="24"/>
        <v>Mid</v>
      </c>
      <c r="E485" s="2">
        <v>685000</v>
      </c>
      <c r="F485" s="2">
        <v>71000</v>
      </c>
      <c r="G485" s="2">
        <v>15000</v>
      </c>
      <c r="H485" t="s">
        <v>10</v>
      </c>
      <c r="I485" s="2">
        <f t="shared" si="26"/>
        <v>756000</v>
      </c>
      <c r="J485" s="2">
        <f t="shared" si="25"/>
        <v>771000</v>
      </c>
    </row>
    <row r="486" spans="1:10">
      <c r="A486" s="7" t="s">
        <v>528</v>
      </c>
      <c r="B486" s="7" t="s">
        <v>412</v>
      </c>
      <c r="C486" t="s">
        <v>415</v>
      </c>
      <c r="D486" s="7" t="str">
        <f t="shared" si="24"/>
        <v>Entry</v>
      </c>
      <c r="E486" s="2">
        <v>544000</v>
      </c>
      <c r="F486" s="2">
        <v>59000</v>
      </c>
      <c r="G486" s="2">
        <v>25000</v>
      </c>
      <c r="H486" t="s">
        <v>10</v>
      </c>
      <c r="I486" s="2">
        <f t="shared" si="26"/>
        <v>603000</v>
      </c>
      <c r="J486" s="2">
        <f t="shared" si="25"/>
        <v>628000</v>
      </c>
    </row>
    <row r="487" spans="1:10">
      <c r="A487" s="7" t="s">
        <v>529</v>
      </c>
      <c r="B487" s="7" t="s">
        <v>412</v>
      </c>
      <c r="C487" t="s">
        <v>417</v>
      </c>
      <c r="D487" s="7" t="str">
        <f t="shared" si="24"/>
        <v>Senior</v>
      </c>
      <c r="E487" s="2">
        <v>851000</v>
      </c>
      <c r="F487" s="2">
        <v>111000</v>
      </c>
      <c r="G487" s="2">
        <v>18000</v>
      </c>
      <c r="H487" t="s">
        <v>10</v>
      </c>
      <c r="I487" s="2">
        <f t="shared" si="26"/>
        <v>962000</v>
      </c>
      <c r="J487" s="2">
        <f t="shared" si="25"/>
        <v>980000</v>
      </c>
    </row>
    <row r="488" spans="1:10">
      <c r="A488" s="7" t="s">
        <v>530</v>
      </c>
      <c r="B488" s="7" t="s">
        <v>412</v>
      </c>
      <c r="C488" t="s">
        <v>415</v>
      </c>
      <c r="D488" s="7" t="str">
        <f t="shared" si="24"/>
        <v>Entry</v>
      </c>
      <c r="E488" s="2">
        <v>612000</v>
      </c>
      <c r="F488" s="2">
        <v>85000</v>
      </c>
      <c r="G488" s="2">
        <v>15000</v>
      </c>
      <c r="H488" t="s">
        <v>10</v>
      </c>
      <c r="I488" s="2">
        <f t="shared" si="26"/>
        <v>697000</v>
      </c>
      <c r="J488" s="2">
        <f t="shared" si="25"/>
        <v>712000</v>
      </c>
    </row>
    <row r="489" spans="1:10">
      <c r="A489" s="7" t="s">
        <v>531</v>
      </c>
      <c r="B489" s="7" t="s">
        <v>412</v>
      </c>
      <c r="C489" t="s">
        <v>417</v>
      </c>
      <c r="D489" s="7" t="str">
        <f t="shared" si="24"/>
        <v>Senior</v>
      </c>
      <c r="E489" s="2">
        <v>758000</v>
      </c>
      <c r="F489" s="2">
        <v>89000</v>
      </c>
      <c r="G489" s="2">
        <v>22000</v>
      </c>
      <c r="H489" t="s">
        <v>10</v>
      </c>
      <c r="I489" s="2">
        <f t="shared" si="26"/>
        <v>847000</v>
      </c>
      <c r="J489" s="2">
        <f t="shared" si="25"/>
        <v>869000</v>
      </c>
    </row>
    <row r="490" spans="1:10">
      <c r="A490" s="7" t="s">
        <v>532</v>
      </c>
      <c r="B490" s="7" t="s">
        <v>412</v>
      </c>
      <c r="C490" t="s">
        <v>432</v>
      </c>
      <c r="D490" s="7" t="str">
        <f t="shared" si="24"/>
        <v>Leadership</v>
      </c>
      <c r="E490" s="2">
        <v>1249000</v>
      </c>
      <c r="F490" s="2">
        <v>142000</v>
      </c>
      <c r="G490" s="2">
        <v>18000</v>
      </c>
      <c r="H490" t="s">
        <v>10</v>
      </c>
      <c r="I490" s="2">
        <f t="shared" si="26"/>
        <v>1391000</v>
      </c>
      <c r="J490" s="2">
        <f t="shared" si="25"/>
        <v>1409000</v>
      </c>
    </row>
    <row r="491" spans="1:10">
      <c r="A491" s="7" t="s">
        <v>533</v>
      </c>
      <c r="B491" s="7" t="s">
        <v>412</v>
      </c>
      <c r="C491" t="s">
        <v>432</v>
      </c>
      <c r="D491" s="7" t="str">
        <f t="shared" si="24"/>
        <v>Leadership</v>
      </c>
      <c r="E491" s="2">
        <v>1338000</v>
      </c>
      <c r="F491" s="2">
        <v>146000</v>
      </c>
      <c r="G491" s="2">
        <v>28000</v>
      </c>
      <c r="H491" t="s">
        <v>10</v>
      </c>
      <c r="I491" s="2">
        <f t="shared" si="26"/>
        <v>1484000</v>
      </c>
      <c r="J491" s="2">
        <f t="shared" si="25"/>
        <v>1512000</v>
      </c>
    </row>
    <row r="492" spans="1:10">
      <c r="A492" s="7" t="s">
        <v>534</v>
      </c>
      <c r="B492" s="7" t="s">
        <v>412</v>
      </c>
      <c r="C492" t="s">
        <v>413</v>
      </c>
      <c r="D492" s="7" t="str">
        <f t="shared" si="24"/>
        <v>Mid</v>
      </c>
      <c r="E492" s="2">
        <v>696000</v>
      </c>
      <c r="F492" s="2">
        <v>87000</v>
      </c>
      <c r="G492" s="2">
        <v>22000</v>
      </c>
      <c r="H492" t="s">
        <v>10</v>
      </c>
      <c r="I492" s="2">
        <f t="shared" si="26"/>
        <v>783000</v>
      </c>
      <c r="J492" s="2">
        <f t="shared" si="25"/>
        <v>805000</v>
      </c>
    </row>
    <row r="493" spans="1:10">
      <c r="A493" s="7" t="s">
        <v>535</v>
      </c>
      <c r="B493" s="7" t="s">
        <v>412</v>
      </c>
      <c r="C493" t="s">
        <v>425</v>
      </c>
      <c r="D493" s="7" t="str">
        <f t="shared" si="24"/>
        <v>Mid</v>
      </c>
      <c r="E493" s="2">
        <v>697000</v>
      </c>
      <c r="F493" s="2">
        <v>85000</v>
      </c>
      <c r="G493" s="2">
        <v>20000</v>
      </c>
      <c r="H493" t="s">
        <v>10</v>
      </c>
      <c r="I493" s="2">
        <f t="shared" si="26"/>
        <v>782000</v>
      </c>
      <c r="J493" s="2">
        <f t="shared" si="25"/>
        <v>802000</v>
      </c>
    </row>
    <row r="494" spans="1:10">
      <c r="A494" s="7" t="s">
        <v>536</v>
      </c>
      <c r="B494" s="7" t="s">
        <v>412</v>
      </c>
      <c r="C494" t="s">
        <v>413</v>
      </c>
      <c r="D494" s="7" t="str">
        <f t="shared" si="24"/>
        <v>Mid</v>
      </c>
      <c r="E494" s="2">
        <v>675000</v>
      </c>
      <c r="F494" s="2">
        <v>75000</v>
      </c>
      <c r="G494" s="2">
        <v>18000</v>
      </c>
      <c r="H494" t="s">
        <v>10</v>
      </c>
      <c r="I494" s="2">
        <f t="shared" si="26"/>
        <v>750000</v>
      </c>
      <c r="J494" s="2">
        <f t="shared" si="25"/>
        <v>768000</v>
      </c>
    </row>
    <row r="495" spans="1:10">
      <c r="A495" s="7" t="s">
        <v>537</v>
      </c>
      <c r="B495" s="7" t="s">
        <v>412</v>
      </c>
      <c r="C495" t="s">
        <v>425</v>
      </c>
      <c r="D495" s="7" t="str">
        <f t="shared" si="24"/>
        <v>Mid</v>
      </c>
      <c r="E495" s="2">
        <v>674000</v>
      </c>
      <c r="F495" s="2">
        <v>69000</v>
      </c>
      <c r="G495" s="2">
        <v>25000</v>
      </c>
      <c r="H495" t="s">
        <v>10</v>
      </c>
      <c r="I495" s="2">
        <f t="shared" si="26"/>
        <v>743000</v>
      </c>
      <c r="J495" s="2">
        <f t="shared" si="25"/>
        <v>768000</v>
      </c>
    </row>
    <row r="496" spans="1:10">
      <c r="A496" s="7" t="s">
        <v>538</v>
      </c>
      <c r="B496" s="7" t="s">
        <v>412</v>
      </c>
      <c r="C496" t="s">
        <v>415</v>
      </c>
      <c r="D496" s="7" t="str">
        <f t="shared" si="24"/>
        <v>Entry</v>
      </c>
      <c r="E496" s="2">
        <v>654000</v>
      </c>
      <c r="F496" s="2">
        <v>72000</v>
      </c>
      <c r="G496" s="2">
        <v>28000</v>
      </c>
      <c r="H496" t="s">
        <v>10</v>
      </c>
      <c r="I496" s="2">
        <f t="shared" si="26"/>
        <v>726000</v>
      </c>
      <c r="J496" s="2">
        <f t="shared" si="25"/>
        <v>754000</v>
      </c>
    </row>
    <row r="497" spans="1:10">
      <c r="A497" s="7" t="s">
        <v>539</v>
      </c>
      <c r="B497" s="7" t="s">
        <v>412</v>
      </c>
      <c r="C497" t="s">
        <v>425</v>
      </c>
      <c r="D497" s="7" t="str">
        <f t="shared" si="24"/>
        <v>Mid</v>
      </c>
      <c r="E497" s="2">
        <v>713000</v>
      </c>
      <c r="F497" s="2">
        <v>85000</v>
      </c>
      <c r="G497" s="2">
        <v>25000</v>
      </c>
      <c r="H497" t="s">
        <v>10</v>
      </c>
      <c r="I497" s="2">
        <f t="shared" si="26"/>
        <v>798000</v>
      </c>
      <c r="J497" s="2">
        <f t="shared" si="25"/>
        <v>823000</v>
      </c>
    </row>
    <row r="498" spans="1:10">
      <c r="A498" s="7" t="s">
        <v>540</v>
      </c>
      <c r="B498" s="7" t="s">
        <v>412</v>
      </c>
      <c r="C498" t="s">
        <v>417</v>
      </c>
      <c r="D498" s="7" t="str">
        <f t="shared" si="24"/>
        <v>Senior</v>
      </c>
      <c r="E498" s="2">
        <v>733000</v>
      </c>
      <c r="F498" s="2">
        <v>97000</v>
      </c>
      <c r="G498" s="2">
        <v>18000</v>
      </c>
      <c r="H498" t="s">
        <v>10</v>
      </c>
      <c r="I498" s="2">
        <f t="shared" si="26"/>
        <v>830000</v>
      </c>
      <c r="J498" s="2">
        <f t="shared" si="25"/>
        <v>848000</v>
      </c>
    </row>
    <row r="499" spans="1:10">
      <c r="A499" s="7" t="s">
        <v>541</v>
      </c>
      <c r="B499" s="7" t="s">
        <v>412</v>
      </c>
      <c r="C499" t="s">
        <v>425</v>
      </c>
      <c r="D499" s="7" t="str">
        <f t="shared" si="24"/>
        <v>Mid</v>
      </c>
      <c r="E499" s="2">
        <v>716000</v>
      </c>
      <c r="F499" s="2">
        <v>97000</v>
      </c>
      <c r="G499" s="2">
        <v>35000</v>
      </c>
      <c r="H499" t="s">
        <v>10</v>
      </c>
      <c r="I499" s="2">
        <f t="shared" si="26"/>
        <v>813000</v>
      </c>
      <c r="J499" s="2">
        <f t="shared" si="25"/>
        <v>848000</v>
      </c>
    </row>
    <row r="500" spans="1:10">
      <c r="A500" s="7" t="s">
        <v>542</v>
      </c>
      <c r="B500" s="7" t="s">
        <v>412</v>
      </c>
      <c r="C500" t="s">
        <v>415</v>
      </c>
      <c r="D500" s="7" t="str">
        <f t="shared" si="24"/>
        <v>Entry</v>
      </c>
      <c r="E500" s="2">
        <v>540000</v>
      </c>
      <c r="F500" s="2">
        <v>71000</v>
      </c>
      <c r="G500" s="2">
        <v>18000</v>
      </c>
      <c r="H500" t="s">
        <v>10</v>
      </c>
      <c r="I500" s="2">
        <f t="shared" si="26"/>
        <v>611000</v>
      </c>
      <c r="J500" s="2">
        <f t="shared" si="25"/>
        <v>629000</v>
      </c>
    </row>
    <row r="501" spans="1:10">
      <c r="A501" s="7" t="s">
        <v>543</v>
      </c>
      <c r="B501" s="7" t="s">
        <v>412</v>
      </c>
      <c r="C501" t="s">
        <v>417</v>
      </c>
      <c r="D501" s="7" t="str">
        <f t="shared" si="24"/>
        <v>Senior</v>
      </c>
      <c r="E501" s="2">
        <v>837000</v>
      </c>
      <c r="F501" s="2">
        <v>96000</v>
      </c>
      <c r="G501" s="2">
        <v>18000</v>
      </c>
      <c r="H501" t="s">
        <v>10</v>
      </c>
      <c r="I501" s="2">
        <f t="shared" si="26"/>
        <v>933000</v>
      </c>
      <c r="J501" s="2">
        <f t="shared" si="25"/>
        <v>951000</v>
      </c>
    </row>
  </sheetData>
  <autoFilter ref="A1:H501">
    <filterColumn colId="3"/>
  </autoFilter>
  <dataValidations count="1">
    <dataValidation type="list" sqref="H2:H501">
      <formula1>"Active,Exit"</formula1>
    </dataValidation>
  </dataValidation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 activeCell="F21" sqref="F21"/>
    </sheetView>
  </sheetViews>
  <sheetFormatPr defaultRowHeight="14.4"/>
  <cols>
    <col min="1" max="1" width="18" customWidth="1"/>
    <col min="2" max="2" width="20" customWidth="1"/>
    <col min="3" max="5" width="16" customWidth="1"/>
    <col min="6" max="6" width="13" customWidth="1"/>
    <col min="7" max="7" width="20" customWidth="1"/>
  </cols>
  <sheetData>
    <row r="1" spans="1:7">
      <c r="A1" s="1" t="s">
        <v>1</v>
      </c>
      <c r="B1" s="1" t="s">
        <v>544</v>
      </c>
      <c r="C1" s="1" t="s">
        <v>545</v>
      </c>
      <c r="D1" s="1" t="s">
        <v>546</v>
      </c>
      <c r="E1" s="3" t="s">
        <v>552</v>
      </c>
      <c r="F1" s="1" t="s">
        <v>547</v>
      </c>
      <c r="G1" s="1" t="s">
        <v>548</v>
      </c>
    </row>
    <row r="2" spans="1:7">
      <c r="A2" t="s">
        <v>8</v>
      </c>
      <c r="B2">
        <v>150</v>
      </c>
      <c r="C2">
        <v>28</v>
      </c>
      <c r="D2">
        <v>12</v>
      </c>
      <c r="E2">
        <f>B2+C2-D2</f>
        <v>166</v>
      </c>
      <c r="F2" s="2">
        <v>883000</v>
      </c>
      <c r="G2" s="2">
        <v>175000000</v>
      </c>
    </row>
    <row r="3" spans="1:7">
      <c r="A3" t="s">
        <v>167</v>
      </c>
      <c r="B3">
        <v>100</v>
      </c>
      <c r="C3">
        <v>18</v>
      </c>
      <c r="D3">
        <v>8</v>
      </c>
      <c r="E3">
        <f t="shared" ref="E3:E6" si="0">B3+C3-D3</f>
        <v>110</v>
      </c>
      <c r="F3" s="2">
        <v>766000</v>
      </c>
      <c r="G3" s="2">
        <v>82000000</v>
      </c>
    </row>
    <row r="4" spans="1:7">
      <c r="A4" t="s">
        <v>273</v>
      </c>
      <c r="B4">
        <v>75</v>
      </c>
      <c r="C4">
        <v>10</v>
      </c>
      <c r="D4">
        <v>5</v>
      </c>
      <c r="E4">
        <f t="shared" si="0"/>
        <v>80</v>
      </c>
      <c r="F4" s="2">
        <v>743000</v>
      </c>
      <c r="G4" s="2">
        <v>50000000</v>
      </c>
    </row>
    <row r="5" spans="1:7">
      <c r="A5" t="s">
        <v>355</v>
      </c>
      <c r="B5">
        <v>50</v>
      </c>
      <c r="C5">
        <v>7</v>
      </c>
      <c r="D5">
        <v>3</v>
      </c>
      <c r="E5">
        <f t="shared" si="0"/>
        <v>54</v>
      </c>
      <c r="F5" s="2">
        <v>669000</v>
      </c>
      <c r="G5" s="2">
        <v>30000000</v>
      </c>
    </row>
    <row r="6" spans="1:7">
      <c r="A6" t="s">
        <v>412</v>
      </c>
      <c r="B6">
        <v>125</v>
      </c>
      <c r="C6">
        <v>22</v>
      </c>
      <c r="D6">
        <v>10</v>
      </c>
      <c r="E6">
        <f t="shared" si="0"/>
        <v>137</v>
      </c>
      <c r="F6" s="2">
        <v>728000</v>
      </c>
      <c r="G6" s="2">
        <v>100000000</v>
      </c>
    </row>
  </sheetData>
  <autoFilter ref="A1:G6">
    <filterColumn colId="4"/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D18" sqref="D18"/>
    </sheetView>
  </sheetViews>
  <sheetFormatPr defaultRowHeight="14.4"/>
  <cols>
    <col min="1" max="1" width="25" customWidth="1"/>
    <col min="2" max="2" width="28.109375" customWidth="1"/>
  </cols>
  <sheetData>
    <row r="1" spans="1:9">
      <c r="A1" s="4" t="s">
        <v>553</v>
      </c>
      <c r="B1" s="4" t="s">
        <v>554</v>
      </c>
      <c r="C1" s="3"/>
      <c r="D1" s="3"/>
      <c r="E1" s="3"/>
      <c r="F1" s="3"/>
      <c r="G1" s="3"/>
      <c r="H1" s="3"/>
      <c r="I1" s="3"/>
    </row>
    <row r="2" spans="1:9">
      <c r="A2" t="s">
        <v>555</v>
      </c>
      <c r="B2">
        <f>SUM(Workforce_Plan!B2:B6)</f>
        <v>500</v>
      </c>
    </row>
    <row r="3" spans="1:9">
      <c r="A3" t="s">
        <v>556</v>
      </c>
      <c r="B3">
        <f>SUM(Workforce_Plan!C2:C6)</f>
        <v>85</v>
      </c>
    </row>
    <row r="4" spans="1:9">
      <c r="A4" t="s">
        <v>557</v>
      </c>
      <c r="B4">
        <f>SUM(Workforce_Plan!D2:D6)</f>
        <v>38</v>
      </c>
    </row>
    <row r="5" spans="1:9">
      <c r="A5" t="s">
        <v>558</v>
      </c>
      <c r="B5">
        <f>B2+B3-B4</f>
        <v>547</v>
      </c>
    </row>
    <row r="6" spans="1:9">
      <c r="A6" t="s">
        <v>559</v>
      </c>
      <c r="B6" s="9">
        <f>SUM(Employee_Data!J2:J501)</f>
        <v>447947000</v>
      </c>
    </row>
    <row r="7" spans="1:9">
      <c r="A7" t="s">
        <v>560</v>
      </c>
      <c r="B7" s="9">
        <f>B6/B2</f>
        <v>895894</v>
      </c>
    </row>
    <row r="8" spans="1:9">
      <c r="A8" t="s">
        <v>561</v>
      </c>
      <c r="B8" s="9">
        <f>SUM(Employee_Data!G2:G501)</f>
        <v>12092000</v>
      </c>
    </row>
    <row r="9" spans="1:9">
      <c r="A9" t="s">
        <v>562</v>
      </c>
      <c r="B9" s="9">
        <f>B8/B2</f>
        <v>24184</v>
      </c>
    </row>
    <row r="10" spans="1:9">
      <c r="A10" t="s">
        <v>563</v>
      </c>
      <c r="B10" s="9">
        <f>SUM(Workforce_Plan!G2:G6)</f>
        <v>437000000</v>
      </c>
    </row>
    <row r="11" spans="1:9">
      <c r="A11" t="s">
        <v>564</v>
      </c>
      <c r="B11" s="8">
        <f>B6/B10</f>
        <v>1.025050343249428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J10"/>
  <sheetViews>
    <sheetView zoomScale="90" zoomScaleNormal="90" workbookViewId="0">
      <selection activeCell="H15" sqref="H15"/>
    </sheetView>
  </sheetViews>
  <sheetFormatPr defaultRowHeight="14.4"/>
  <cols>
    <col min="1" max="1" width="16.6640625" bestFit="1" customWidth="1"/>
    <col min="2" max="2" width="21.109375" style="6" bestFit="1" customWidth="1"/>
    <col min="3" max="3" width="19.44140625" bestFit="1" customWidth="1"/>
    <col min="4" max="4" width="21.5546875" bestFit="1" customWidth="1"/>
    <col min="5" max="5" width="22.77734375" bestFit="1" customWidth="1"/>
    <col min="6" max="6" width="20.77734375" bestFit="1" customWidth="1"/>
    <col min="7" max="7" width="18.77734375" bestFit="1" customWidth="1"/>
    <col min="8" max="8" width="19.77734375" customWidth="1"/>
    <col min="9" max="9" width="18" customWidth="1"/>
    <col min="10" max="10" width="16.109375" customWidth="1"/>
  </cols>
  <sheetData>
    <row r="3" spans="1:10" s="9" customFormat="1">
      <c r="A3" s="21"/>
      <c r="B3" s="22" t="s">
        <v>577</v>
      </c>
      <c r="C3" s="21"/>
      <c r="D3" s="21"/>
      <c r="E3" s="21"/>
      <c r="F3" s="21"/>
      <c r="G3" s="21"/>
      <c r="H3" s="21"/>
      <c r="I3" s="21"/>
      <c r="J3" s="21"/>
    </row>
    <row r="4" spans="1:10" s="9" customFormat="1">
      <c r="A4" s="22" t="s">
        <v>574</v>
      </c>
      <c r="B4" s="21" t="s">
        <v>576</v>
      </c>
      <c r="C4" s="21" t="s">
        <v>578</v>
      </c>
      <c r="D4" s="21" t="s">
        <v>579</v>
      </c>
      <c r="E4" s="21" t="s">
        <v>580</v>
      </c>
      <c r="F4" s="21" t="s">
        <v>581</v>
      </c>
      <c r="G4" s="21" t="s">
        <v>582</v>
      </c>
      <c r="H4" s="21" t="s">
        <v>583</v>
      </c>
      <c r="I4" s="21" t="s">
        <v>584</v>
      </c>
      <c r="J4" s="21" t="s">
        <v>585</v>
      </c>
    </row>
    <row r="5" spans="1:10" s="9" customFormat="1">
      <c r="A5" s="21" t="s">
        <v>8</v>
      </c>
      <c r="B5" s="21">
        <v>139101000</v>
      </c>
      <c r="C5" s="21">
        <v>132470000</v>
      </c>
      <c r="D5" s="21">
        <v>-6631000</v>
      </c>
      <c r="E5" s="21">
        <v>3461000</v>
      </c>
      <c r="F5" s="21">
        <v>3627000</v>
      </c>
      <c r="G5" s="21">
        <v>166000</v>
      </c>
      <c r="H5" s="21">
        <v>142562000</v>
      </c>
      <c r="I5" s="21">
        <v>136097000</v>
      </c>
      <c r="J5" s="21">
        <v>-6465000</v>
      </c>
    </row>
    <row r="6" spans="1:10" s="9" customFormat="1">
      <c r="A6" s="21" t="s">
        <v>273</v>
      </c>
      <c r="B6" s="21">
        <v>58501000</v>
      </c>
      <c r="C6" s="21">
        <v>55718000</v>
      </c>
      <c r="D6" s="21">
        <v>-2783000</v>
      </c>
      <c r="E6" s="21">
        <v>1707000</v>
      </c>
      <c r="F6" s="21">
        <v>1790000</v>
      </c>
      <c r="G6" s="21">
        <v>83000</v>
      </c>
      <c r="H6" s="21">
        <v>60208000</v>
      </c>
      <c r="I6" s="21">
        <v>57508000</v>
      </c>
      <c r="J6" s="21">
        <v>-2700000</v>
      </c>
    </row>
    <row r="7" spans="1:10" s="9" customFormat="1">
      <c r="A7" s="21" t="s">
        <v>355</v>
      </c>
      <c r="B7" s="21">
        <v>35120000</v>
      </c>
      <c r="C7" s="21">
        <v>33448000</v>
      </c>
      <c r="D7" s="21">
        <v>-1672000</v>
      </c>
      <c r="E7" s="21">
        <v>1121000</v>
      </c>
      <c r="F7" s="21">
        <v>1176000</v>
      </c>
      <c r="G7" s="21">
        <v>55000</v>
      </c>
      <c r="H7" s="21">
        <v>36241000</v>
      </c>
      <c r="I7" s="21">
        <v>34624000</v>
      </c>
      <c r="J7" s="21">
        <v>-1617000</v>
      </c>
    </row>
    <row r="8" spans="1:10" s="9" customFormat="1">
      <c r="A8" s="21" t="s">
        <v>412</v>
      </c>
      <c r="B8" s="21">
        <v>95558000</v>
      </c>
      <c r="C8" s="21">
        <v>90997000</v>
      </c>
      <c r="D8" s="21">
        <v>-4561000</v>
      </c>
      <c r="E8" s="21">
        <v>2925000</v>
      </c>
      <c r="F8" s="21">
        <v>3067000</v>
      </c>
      <c r="G8" s="21">
        <v>142000</v>
      </c>
      <c r="H8" s="21">
        <v>98483000</v>
      </c>
      <c r="I8" s="21">
        <v>94064000</v>
      </c>
      <c r="J8" s="21">
        <v>-4419000</v>
      </c>
    </row>
    <row r="9" spans="1:10" s="9" customFormat="1">
      <c r="A9" s="21" t="s">
        <v>167</v>
      </c>
      <c r="B9" s="21">
        <v>80485000</v>
      </c>
      <c r="C9" s="21">
        <v>76649000</v>
      </c>
      <c r="D9" s="21">
        <v>-3836000</v>
      </c>
      <c r="E9" s="21">
        <v>2319000</v>
      </c>
      <c r="F9" s="21">
        <v>2432000</v>
      </c>
      <c r="G9" s="21">
        <v>113000</v>
      </c>
      <c r="H9" s="21">
        <v>82804000</v>
      </c>
      <c r="I9" s="21">
        <v>79081000</v>
      </c>
      <c r="J9" s="21">
        <v>-3723000</v>
      </c>
    </row>
    <row r="10" spans="1:10" s="9" customFormat="1">
      <c r="A10" s="21" t="s">
        <v>575</v>
      </c>
      <c r="B10" s="21">
        <v>408765000</v>
      </c>
      <c r="C10" s="21">
        <v>389282000</v>
      </c>
      <c r="D10" s="21">
        <v>-19483000</v>
      </c>
      <c r="E10" s="21">
        <v>11533000</v>
      </c>
      <c r="F10" s="21">
        <v>12092000</v>
      </c>
      <c r="G10" s="21">
        <v>559000</v>
      </c>
      <c r="H10" s="21">
        <v>420298000</v>
      </c>
      <c r="I10" s="21">
        <v>401374000</v>
      </c>
      <c r="J10" s="21">
        <v>-18924000</v>
      </c>
    </row>
  </sheetData>
  <conditionalFormatting sqref="D1:D1048576">
    <cfRule type="cellIs" dxfId="7" priority="4" operator="greaterThan">
      <formula>0</formula>
    </cfRule>
    <cfRule type="cellIs" dxfId="6" priority="3" operator="lessThan">
      <formula>0</formula>
    </cfRule>
  </conditionalFormatting>
  <conditionalFormatting sqref="J1:J1048576">
    <cfRule type="cellIs" dxfId="1" priority="2" operator="greaterThan">
      <formula>0</formula>
    </cfRule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01"/>
  <sheetViews>
    <sheetView workbookViewId="0">
      <selection activeCell="E6" sqref="A1:K501"/>
    </sheetView>
  </sheetViews>
  <sheetFormatPr defaultRowHeight="14.4"/>
  <cols>
    <col min="1" max="1" width="17.21875" style="7" customWidth="1"/>
    <col min="2" max="2" width="25.5546875" style="7" customWidth="1"/>
    <col min="3" max="3" width="23.88671875" style="10" customWidth="1"/>
    <col min="4" max="4" width="20.44140625" style="10" customWidth="1"/>
    <col min="5" max="5" width="17.6640625" style="10" customWidth="1"/>
    <col min="6" max="6" width="22.88671875" style="10" customWidth="1"/>
    <col min="7" max="7" width="14" style="10" customWidth="1"/>
    <col min="8" max="8" width="15.5546875" style="10" customWidth="1"/>
    <col min="9" max="9" width="14.77734375" style="10" customWidth="1"/>
    <col min="10" max="10" width="14.21875" style="10" customWidth="1"/>
    <col min="11" max="11" width="14.5546875" style="10" customWidth="1"/>
    <col min="12" max="16384" width="8.88671875" style="7"/>
  </cols>
  <sheetData>
    <row r="1" spans="1:11">
      <c r="A1" s="11" t="s">
        <v>0</v>
      </c>
      <c r="B1" s="11" t="s">
        <v>1</v>
      </c>
      <c r="C1" s="12" t="s">
        <v>565</v>
      </c>
      <c r="D1" s="12" t="s">
        <v>566</v>
      </c>
      <c r="E1" s="12" t="s">
        <v>567</v>
      </c>
      <c r="F1" s="12" t="s">
        <v>568</v>
      </c>
      <c r="G1" s="13" t="s">
        <v>569</v>
      </c>
      <c r="H1" s="13" t="s">
        <v>570</v>
      </c>
      <c r="I1" s="13" t="s">
        <v>571</v>
      </c>
      <c r="J1" s="13" t="s">
        <v>572</v>
      </c>
      <c r="K1" s="13" t="s">
        <v>573</v>
      </c>
    </row>
    <row r="2" spans="1:11">
      <c r="A2" s="14" t="str">
        <f>Employee_Data!A2</f>
        <v>EMP0001</v>
      </c>
      <c r="B2" s="15" t="str">
        <f>Employee_Data!B2</f>
        <v>Engineering</v>
      </c>
      <c r="C2" s="16">
        <f>ROUND(Employee_Data!E2*1.05,-3)</f>
        <v>856000</v>
      </c>
      <c r="D2" s="16">
        <f>Employee_Data!E2</f>
        <v>815000</v>
      </c>
      <c r="E2" s="16">
        <f>D2-C2</f>
        <v>-41000</v>
      </c>
      <c r="F2" s="16">
        <f>ROUND(Employee_Data!G2*0.95,-3)</f>
        <v>21000</v>
      </c>
      <c r="G2" s="16">
        <f>Employee_Data!G2</f>
        <v>22000</v>
      </c>
      <c r="H2" s="16">
        <f>G2-F2</f>
        <v>1000</v>
      </c>
      <c r="I2" s="17">
        <f>C2+F2</f>
        <v>877000</v>
      </c>
      <c r="J2" s="17">
        <f>D2+G2</f>
        <v>837000</v>
      </c>
      <c r="K2" s="17">
        <f>J2-I2</f>
        <v>-40000</v>
      </c>
    </row>
    <row r="3" spans="1:11">
      <c r="A3" s="14" t="str">
        <f>Employee_Data!A3</f>
        <v>EMP0002</v>
      </c>
      <c r="B3" s="15" t="str">
        <f>Employee_Data!B3</f>
        <v>Engineering</v>
      </c>
      <c r="C3" s="16">
        <f>ROUND(Employee_Data!E3*1.05,-3)</f>
        <v>803000</v>
      </c>
      <c r="D3" s="16">
        <f>Employee_Data!E3</f>
        <v>765000</v>
      </c>
      <c r="E3" s="16">
        <f t="shared" ref="E3:E66" si="0">D3-C3</f>
        <v>-38000</v>
      </c>
      <c r="F3" s="16">
        <f>ROUND(Employee_Data!G3*0.95,-3)</f>
        <v>29000</v>
      </c>
      <c r="G3" s="16">
        <f>Employee_Data!G3</f>
        <v>30000</v>
      </c>
      <c r="H3" s="16">
        <f t="shared" ref="H3:H66" si="1">G3-F3</f>
        <v>1000</v>
      </c>
      <c r="I3" s="17">
        <f t="shared" ref="I3:I66" si="2">C3+F3</f>
        <v>832000</v>
      </c>
      <c r="J3" s="17">
        <f t="shared" ref="J3:J66" si="3">D3+G3</f>
        <v>795000</v>
      </c>
      <c r="K3" s="17">
        <f t="shared" ref="K3:K66" si="4">J3-I3</f>
        <v>-37000</v>
      </c>
    </row>
    <row r="4" spans="1:11">
      <c r="A4" s="14" t="str">
        <f>Employee_Data!A4</f>
        <v>EMP0003</v>
      </c>
      <c r="B4" s="15" t="str">
        <f>Employee_Data!B4</f>
        <v>Engineering</v>
      </c>
      <c r="C4" s="16">
        <f>ROUND(Employee_Data!E4*1.05,-3)</f>
        <v>719000</v>
      </c>
      <c r="D4" s="16">
        <f>Employee_Data!E4</f>
        <v>685000</v>
      </c>
      <c r="E4" s="16">
        <f t="shared" si="0"/>
        <v>-34000</v>
      </c>
      <c r="F4" s="16">
        <f>ROUND(Employee_Data!G4*0.95,-3)</f>
        <v>21000</v>
      </c>
      <c r="G4" s="16">
        <f>Employee_Data!G4</f>
        <v>22000</v>
      </c>
      <c r="H4" s="16">
        <f t="shared" si="1"/>
        <v>1000</v>
      </c>
      <c r="I4" s="17">
        <f t="shared" si="2"/>
        <v>740000</v>
      </c>
      <c r="J4" s="17">
        <f t="shared" si="3"/>
        <v>707000</v>
      </c>
      <c r="K4" s="17">
        <f t="shared" si="4"/>
        <v>-33000</v>
      </c>
    </row>
    <row r="5" spans="1:11">
      <c r="A5" s="14" t="str">
        <f>Employee_Data!A5</f>
        <v>EMP0004</v>
      </c>
      <c r="B5" s="15" t="str">
        <f>Employee_Data!B5</f>
        <v>Engineering</v>
      </c>
      <c r="C5" s="16">
        <f>ROUND(Employee_Data!E5*1.05,-3)</f>
        <v>938000</v>
      </c>
      <c r="D5" s="16">
        <f>Employee_Data!E5</f>
        <v>893000</v>
      </c>
      <c r="E5" s="16">
        <f t="shared" si="0"/>
        <v>-45000</v>
      </c>
      <c r="F5" s="16">
        <f>ROUND(Employee_Data!G5*0.95,-3)</f>
        <v>24000</v>
      </c>
      <c r="G5" s="16">
        <f>Employee_Data!G5</f>
        <v>25000</v>
      </c>
      <c r="H5" s="16">
        <f t="shared" si="1"/>
        <v>1000</v>
      </c>
      <c r="I5" s="17">
        <f t="shared" si="2"/>
        <v>962000</v>
      </c>
      <c r="J5" s="17">
        <f t="shared" si="3"/>
        <v>918000</v>
      </c>
      <c r="K5" s="17">
        <f t="shared" si="4"/>
        <v>-44000</v>
      </c>
    </row>
    <row r="6" spans="1:11">
      <c r="A6" s="14" t="str">
        <f>Employee_Data!A6</f>
        <v>EMP0005</v>
      </c>
      <c r="B6" s="15" t="str">
        <f>Employee_Data!B6</f>
        <v>Engineering</v>
      </c>
      <c r="C6" s="16">
        <f>ROUND(Employee_Data!E6*1.05,-3)</f>
        <v>815000</v>
      </c>
      <c r="D6" s="16">
        <f>Employee_Data!E6</f>
        <v>776000</v>
      </c>
      <c r="E6" s="16">
        <f t="shared" si="0"/>
        <v>-39000</v>
      </c>
      <c r="F6" s="16">
        <f>ROUND(Employee_Data!G6*0.95,-3)</f>
        <v>27000</v>
      </c>
      <c r="G6" s="16">
        <f>Employee_Data!G6</f>
        <v>28000</v>
      </c>
      <c r="H6" s="16">
        <f t="shared" si="1"/>
        <v>1000</v>
      </c>
      <c r="I6" s="17">
        <f t="shared" si="2"/>
        <v>842000</v>
      </c>
      <c r="J6" s="17">
        <f t="shared" si="3"/>
        <v>804000</v>
      </c>
      <c r="K6" s="17">
        <f t="shared" si="4"/>
        <v>-38000</v>
      </c>
    </row>
    <row r="7" spans="1:11">
      <c r="A7" s="14" t="str">
        <f>Employee_Data!A7</f>
        <v>EMP0006</v>
      </c>
      <c r="B7" s="15" t="str">
        <f>Employee_Data!B7</f>
        <v>Engineering</v>
      </c>
      <c r="C7" s="16">
        <f>ROUND(Employee_Data!E7*1.05,-3)</f>
        <v>807000</v>
      </c>
      <c r="D7" s="16">
        <f>Employee_Data!E7</f>
        <v>769000</v>
      </c>
      <c r="E7" s="16">
        <f t="shared" si="0"/>
        <v>-38000</v>
      </c>
      <c r="F7" s="16">
        <f>ROUND(Employee_Data!G7*0.95,-3)</f>
        <v>29000</v>
      </c>
      <c r="G7" s="16">
        <f>Employee_Data!G7</f>
        <v>30000</v>
      </c>
      <c r="H7" s="16">
        <f t="shared" si="1"/>
        <v>1000</v>
      </c>
      <c r="I7" s="17">
        <f t="shared" si="2"/>
        <v>836000</v>
      </c>
      <c r="J7" s="17">
        <f t="shared" si="3"/>
        <v>799000</v>
      </c>
      <c r="K7" s="17">
        <f t="shared" si="4"/>
        <v>-37000</v>
      </c>
    </row>
    <row r="8" spans="1:11">
      <c r="A8" s="14" t="str">
        <f>Employee_Data!A8</f>
        <v>EMP0007</v>
      </c>
      <c r="B8" s="15" t="str">
        <f>Employee_Data!B8</f>
        <v>Engineering</v>
      </c>
      <c r="C8" s="16">
        <f>ROUND(Employee_Data!E8*1.05,-3)</f>
        <v>922000</v>
      </c>
      <c r="D8" s="16">
        <f>Employee_Data!E8</f>
        <v>878000</v>
      </c>
      <c r="E8" s="16">
        <f t="shared" si="0"/>
        <v>-44000</v>
      </c>
      <c r="F8" s="16">
        <f>ROUND(Employee_Data!G8*0.95,-3)</f>
        <v>33000</v>
      </c>
      <c r="G8" s="16">
        <f>Employee_Data!G8</f>
        <v>35000</v>
      </c>
      <c r="H8" s="16">
        <f t="shared" si="1"/>
        <v>2000</v>
      </c>
      <c r="I8" s="17">
        <f t="shared" si="2"/>
        <v>955000</v>
      </c>
      <c r="J8" s="17">
        <f t="shared" si="3"/>
        <v>913000</v>
      </c>
      <c r="K8" s="17">
        <f t="shared" si="4"/>
        <v>-42000</v>
      </c>
    </row>
    <row r="9" spans="1:11">
      <c r="A9" s="14" t="str">
        <f>Employee_Data!A9</f>
        <v>EMP0008</v>
      </c>
      <c r="B9" s="15" t="str">
        <f>Employee_Data!B9</f>
        <v>Engineering</v>
      </c>
      <c r="C9" s="16">
        <f>ROUND(Employee_Data!E9*1.05,-3)</f>
        <v>1497000</v>
      </c>
      <c r="D9" s="16">
        <f>Employee_Data!E9</f>
        <v>1426000</v>
      </c>
      <c r="E9" s="16">
        <f t="shared" si="0"/>
        <v>-71000</v>
      </c>
      <c r="F9" s="16">
        <f>ROUND(Employee_Data!G9*0.95,-3)</f>
        <v>27000</v>
      </c>
      <c r="G9" s="16">
        <f>Employee_Data!G9</f>
        <v>28000</v>
      </c>
      <c r="H9" s="16">
        <f t="shared" si="1"/>
        <v>1000</v>
      </c>
      <c r="I9" s="17">
        <f t="shared" si="2"/>
        <v>1524000</v>
      </c>
      <c r="J9" s="17">
        <f t="shared" si="3"/>
        <v>1454000</v>
      </c>
      <c r="K9" s="17">
        <f t="shared" si="4"/>
        <v>-70000</v>
      </c>
    </row>
    <row r="10" spans="1:11">
      <c r="A10" s="14" t="str">
        <f>Employee_Data!A10</f>
        <v>EMP0009</v>
      </c>
      <c r="B10" s="15" t="str">
        <f>Employee_Data!B10</f>
        <v>Engineering</v>
      </c>
      <c r="C10" s="16">
        <f>ROUND(Employee_Data!E10*1.05,-3)</f>
        <v>860000</v>
      </c>
      <c r="D10" s="16">
        <f>Employee_Data!E10</f>
        <v>819000</v>
      </c>
      <c r="E10" s="16">
        <f t="shared" si="0"/>
        <v>-41000</v>
      </c>
      <c r="F10" s="16">
        <f>ROUND(Employee_Data!G10*0.95,-3)</f>
        <v>24000</v>
      </c>
      <c r="G10" s="16">
        <f>Employee_Data!G10</f>
        <v>25000</v>
      </c>
      <c r="H10" s="16">
        <f t="shared" si="1"/>
        <v>1000</v>
      </c>
      <c r="I10" s="17">
        <f t="shared" si="2"/>
        <v>884000</v>
      </c>
      <c r="J10" s="17">
        <f t="shared" si="3"/>
        <v>844000</v>
      </c>
      <c r="K10" s="17">
        <f t="shared" si="4"/>
        <v>-40000</v>
      </c>
    </row>
    <row r="11" spans="1:11">
      <c r="A11" s="14" t="str">
        <f>Employee_Data!A11</f>
        <v>EMP0010</v>
      </c>
      <c r="B11" s="15" t="str">
        <f>Employee_Data!B11</f>
        <v>Engineering</v>
      </c>
      <c r="C11" s="16">
        <f>ROUND(Employee_Data!E11*1.05,-3)</f>
        <v>744000</v>
      </c>
      <c r="D11" s="16">
        <f>Employee_Data!E11</f>
        <v>709000</v>
      </c>
      <c r="E11" s="16">
        <f t="shared" si="0"/>
        <v>-35000</v>
      </c>
      <c r="F11" s="16">
        <f>ROUND(Employee_Data!G11*0.95,-3)</f>
        <v>33000</v>
      </c>
      <c r="G11" s="16">
        <f>Employee_Data!G11</f>
        <v>35000</v>
      </c>
      <c r="H11" s="16">
        <f t="shared" si="1"/>
        <v>2000</v>
      </c>
      <c r="I11" s="17">
        <f t="shared" si="2"/>
        <v>777000</v>
      </c>
      <c r="J11" s="17">
        <f t="shared" si="3"/>
        <v>744000</v>
      </c>
      <c r="K11" s="17">
        <f t="shared" si="4"/>
        <v>-33000</v>
      </c>
    </row>
    <row r="12" spans="1:11">
      <c r="A12" s="14" t="str">
        <f>Employee_Data!A12</f>
        <v>EMP0011</v>
      </c>
      <c r="B12" s="15" t="str">
        <f>Employee_Data!B12</f>
        <v>Engineering</v>
      </c>
      <c r="C12" s="16">
        <f>ROUND(Employee_Data!E12*1.05,-3)</f>
        <v>1134000</v>
      </c>
      <c r="D12" s="16">
        <f>Employee_Data!E12</f>
        <v>1080000</v>
      </c>
      <c r="E12" s="16">
        <f t="shared" si="0"/>
        <v>-54000</v>
      </c>
      <c r="F12" s="16">
        <f>ROUND(Employee_Data!G12*0.95,-3)</f>
        <v>24000</v>
      </c>
      <c r="G12" s="16">
        <f>Employee_Data!G12</f>
        <v>25000</v>
      </c>
      <c r="H12" s="16">
        <f t="shared" si="1"/>
        <v>1000</v>
      </c>
      <c r="I12" s="17">
        <f t="shared" si="2"/>
        <v>1158000</v>
      </c>
      <c r="J12" s="17">
        <f t="shared" si="3"/>
        <v>1105000</v>
      </c>
      <c r="K12" s="17">
        <f t="shared" si="4"/>
        <v>-53000</v>
      </c>
    </row>
    <row r="13" spans="1:11">
      <c r="A13" s="14" t="str">
        <f>Employee_Data!A13</f>
        <v>EMP0012</v>
      </c>
      <c r="B13" s="15" t="str">
        <f>Employee_Data!B13</f>
        <v>Engineering</v>
      </c>
      <c r="C13" s="16">
        <f>ROUND(Employee_Data!E13*1.05,-3)</f>
        <v>865000</v>
      </c>
      <c r="D13" s="16">
        <f>Employee_Data!E13</f>
        <v>824000</v>
      </c>
      <c r="E13" s="16">
        <f t="shared" si="0"/>
        <v>-41000</v>
      </c>
      <c r="F13" s="16">
        <f>ROUND(Employee_Data!G13*0.95,-3)</f>
        <v>21000</v>
      </c>
      <c r="G13" s="16">
        <f>Employee_Data!G13</f>
        <v>22000</v>
      </c>
      <c r="H13" s="16">
        <f t="shared" si="1"/>
        <v>1000</v>
      </c>
      <c r="I13" s="17">
        <f t="shared" si="2"/>
        <v>886000</v>
      </c>
      <c r="J13" s="17">
        <f t="shared" si="3"/>
        <v>846000</v>
      </c>
      <c r="K13" s="17">
        <f t="shared" si="4"/>
        <v>-40000</v>
      </c>
    </row>
    <row r="14" spans="1:11">
      <c r="A14" s="14" t="str">
        <f>Employee_Data!A14</f>
        <v>EMP0013</v>
      </c>
      <c r="B14" s="15" t="str">
        <f>Employee_Data!B14</f>
        <v>Engineering</v>
      </c>
      <c r="C14" s="16">
        <f>ROUND(Employee_Data!E14*1.05,-3)</f>
        <v>1290000</v>
      </c>
      <c r="D14" s="16">
        <f>Employee_Data!E14</f>
        <v>1229000</v>
      </c>
      <c r="E14" s="16">
        <f t="shared" si="0"/>
        <v>-61000</v>
      </c>
      <c r="F14" s="16">
        <f>ROUND(Employee_Data!G14*0.95,-3)</f>
        <v>21000</v>
      </c>
      <c r="G14" s="16">
        <f>Employee_Data!G14</f>
        <v>22000</v>
      </c>
      <c r="H14" s="16">
        <f t="shared" si="1"/>
        <v>1000</v>
      </c>
      <c r="I14" s="17">
        <f t="shared" si="2"/>
        <v>1311000</v>
      </c>
      <c r="J14" s="17">
        <f t="shared" si="3"/>
        <v>1251000</v>
      </c>
      <c r="K14" s="17">
        <f t="shared" si="4"/>
        <v>-60000</v>
      </c>
    </row>
    <row r="15" spans="1:11">
      <c r="A15" s="14" t="str">
        <f>Employee_Data!A15</f>
        <v>EMP0014</v>
      </c>
      <c r="B15" s="15" t="str">
        <f>Employee_Data!B15</f>
        <v>Engineering</v>
      </c>
      <c r="C15" s="16">
        <f>ROUND(Employee_Data!E15*1.05,-3)</f>
        <v>956000</v>
      </c>
      <c r="D15" s="16">
        <f>Employee_Data!E15</f>
        <v>910000</v>
      </c>
      <c r="E15" s="16">
        <f t="shared" si="0"/>
        <v>-46000</v>
      </c>
      <c r="F15" s="16">
        <f>ROUND(Employee_Data!G15*0.95,-3)</f>
        <v>14000</v>
      </c>
      <c r="G15" s="16">
        <f>Employee_Data!G15</f>
        <v>15000</v>
      </c>
      <c r="H15" s="16">
        <f t="shared" si="1"/>
        <v>1000</v>
      </c>
      <c r="I15" s="17">
        <f t="shared" si="2"/>
        <v>970000</v>
      </c>
      <c r="J15" s="17">
        <f t="shared" si="3"/>
        <v>925000</v>
      </c>
      <c r="K15" s="17">
        <f t="shared" si="4"/>
        <v>-45000</v>
      </c>
    </row>
    <row r="16" spans="1:11">
      <c r="A16" s="14" t="str">
        <f>Employee_Data!A16</f>
        <v>EMP0015</v>
      </c>
      <c r="B16" s="15" t="str">
        <f>Employee_Data!B16</f>
        <v>Engineering</v>
      </c>
      <c r="C16" s="16">
        <f>ROUND(Employee_Data!E16*1.05,-3)</f>
        <v>1056000</v>
      </c>
      <c r="D16" s="16">
        <f>Employee_Data!E16</f>
        <v>1006000</v>
      </c>
      <c r="E16" s="16">
        <f t="shared" si="0"/>
        <v>-50000</v>
      </c>
      <c r="F16" s="16">
        <f>ROUND(Employee_Data!G16*0.95,-3)</f>
        <v>27000</v>
      </c>
      <c r="G16" s="16">
        <f>Employee_Data!G16</f>
        <v>28000</v>
      </c>
      <c r="H16" s="16">
        <f t="shared" si="1"/>
        <v>1000</v>
      </c>
      <c r="I16" s="17">
        <f t="shared" si="2"/>
        <v>1083000</v>
      </c>
      <c r="J16" s="17">
        <f t="shared" si="3"/>
        <v>1034000</v>
      </c>
      <c r="K16" s="17">
        <f t="shared" si="4"/>
        <v>-49000</v>
      </c>
    </row>
    <row r="17" spans="1:11">
      <c r="A17" s="14" t="str">
        <f>Employee_Data!A17</f>
        <v>EMP0016</v>
      </c>
      <c r="B17" s="15" t="str">
        <f>Employee_Data!B17</f>
        <v>Engineering</v>
      </c>
      <c r="C17" s="16">
        <f>ROUND(Employee_Data!E17*1.05,-3)</f>
        <v>1264000</v>
      </c>
      <c r="D17" s="16">
        <f>Employee_Data!E17</f>
        <v>1204000</v>
      </c>
      <c r="E17" s="16">
        <f t="shared" si="0"/>
        <v>-60000</v>
      </c>
      <c r="F17" s="16">
        <f>ROUND(Employee_Data!G17*0.95,-3)</f>
        <v>19000</v>
      </c>
      <c r="G17" s="16">
        <f>Employee_Data!G17</f>
        <v>20000</v>
      </c>
      <c r="H17" s="16">
        <f t="shared" si="1"/>
        <v>1000</v>
      </c>
      <c r="I17" s="17">
        <f t="shared" si="2"/>
        <v>1283000</v>
      </c>
      <c r="J17" s="17">
        <f t="shared" si="3"/>
        <v>1224000</v>
      </c>
      <c r="K17" s="17">
        <f t="shared" si="4"/>
        <v>-59000</v>
      </c>
    </row>
    <row r="18" spans="1:11">
      <c r="A18" s="14" t="str">
        <f>Employee_Data!A18</f>
        <v>EMP0017</v>
      </c>
      <c r="B18" s="15" t="str">
        <f>Employee_Data!B18</f>
        <v>Engineering</v>
      </c>
      <c r="C18" s="16">
        <f>ROUND(Employee_Data!E18*1.05,-3)</f>
        <v>774000</v>
      </c>
      <c r="D18" s="16">
        <f>Employee_Data!E18</f>
        <v>737000</v>
      </c>
      <c r="E18" s="16">
        <f t="shared" si="0"/>
        <v>-37000</v>
      </c>
      <c r="F18" s="16">
        <f>ROUND(Employee_Data!G18*0.95,-3)</f>
        <v>29000</v>
      </c>
      <c r="G18" s="16">
        <f>Employee_Data!G18</f>
        <v>30000</v>
      </c>
      <c r="H18" s="16">
        <f t="shared" si="1"/>
        <v>1000</v>
      </c>
      <c r="I18" s="17">
        <f t="shared" si="2"/>
        <v>803000</v>
      </c>
      <c r="J18" s="17">
        <f t="shared" si="3"/>
        <v>767000</v>
      </c>
      <c r="K18" s="17">
        <f t="shared" si="4"/>
        <v>-36000</v>
      </c>
    </row>
    <row r="19" spans="1:11">
      <c r="A19" s="14" t="str">
        <f>Employee_Data!A19</f>
        <v>EMP0018</v>
      </c>
      <c r="B19" s="15" t="str">
        <f>Employee_Data!B19</f>
        <v>Engineering</v>
      </c>
      <c r="C19" s="16">
        <f>ROUND(Employee_Data!E19*1.05,-3)</f>
        <v>1095000</v>
      </c>
      <c r="D19" s="16">
        <f>Employee_Data!E19</f>
        <v>1043000</v>
      </c>
      <c r="E19" s="16">
        <f t="shared" si="0"/>
        <v>-52000</v>
      </c>
      <c r="F19" s="16">
        <f>ROUND(Employee_Data!G19*0.95,-3)</f>
        <v>33000</v>
      </c>
      <c r="G19" s="16">
        <f>Employee_Data!G19</f>
        <v>35000</v>
      </c>
      <c r="H19" s="16">
        <f t="shared" si="1"/>
        <v>2000</v>
      </c>
      <c r="I19" s="17">
        <f t="shared" si="2"/>
        <v>1128000</v>
      </c>
      <c r="J19" s="17">
        <f t="shared" si="3"/>
        <v>1078000</v>
      </c>
      <c r="K19" s="17">
        <f t="shared" si="4"/>
        <v>-50000</v>
      </c>
    </row>
    <row r="20" spans="1:11">
      <c r="A20" s="14" t="str">
        <f>Employee_Data!A20</f>
        <v>EMP0019</v>
      </c>
      <c r="B20" s="15" t="str">
        <f>Employee_Data!B20</f>
        <v>Engineering</v>
      </c>
      <c r="C20" s="16">
        <f>ROUND(Employee_Data!E20*1.05,-3)</f>
        <v>698000</v>
      </c>
      <c r="D20" s="16">
        <f>Employee_Data!E20</f>
        <v>665000</v>
      </c>
      <c r="E20" s="16">
        <f t="shared" si="0"/>
        <v>-33000</v>
      </c>
      <c r="F20" s="16">
        <f>ROUND(Employee_Data!G20*0.95,-3)</f>
        <v>29000</v>
      </c>
      <c r="G20" s="16">
        <f>Employee_Data!G20</f>
        <v>30000</v>
      </c>
      <c r="H20" s="16">
        <f t="shared" si="1"/>
        <v>1000</v>
      </c>
      <c r="I20" s="17">
        <f t="shared" si="2"/>
        <v>727000</v>
      </c>
      <c r="J20" s="17">
        <f t="shared" si="3"/>
        <v>695000</v>
      </c>
      <c r="K20" s="17">
        <f t="shared" si="4"/>
        <v>-32000</v>
      </c>
    </row>
    <row r="21" spans="1:11">
      <c r="A21" s="14" t="str">
        <f>Employee_Data!A21</f>
        <v>EMP0020</v>
      </c>
      <c r="B21" s="15" t="str">
        <f>Employee_Data!B21</f>
        <v>Engineering</v>
      </c>
      <c r="C21" s="16">
        <f>ROUND(Employee_Data!E21*1.05,-3)</f>
        <v>1191000</v>
      </c>
      <c r="D21" s="16">
        <f>Employee_Data!E21</f>
        <v>1134000</v>
      </c>
      <c r="E21" s="16">
        <f t="shared" si="0"/>
        <v>-57000</v>
      </c>
      <c r="F21" s="16">
        <f>ROUND(Employee_Data!G21*0.95,-3)</f>
        <v>24000</v>
      </c>
      <c r="G21" s="16">
        <f>Employee_Data!G21</f>
        <v>25000</v>
      </c>
      <c r="H21" s="16">
        <f t="shared" si="1"/>
        <v>1000</v>
      </c>
      <c r="I21" s="17">
        <f t="shared" si="2"/>
        <v>1215000</v>
      </c>
      <c r="J21" s="17">
        <f t="shared" si="3"/>
        <v>1159000</v>
      </c>
      <c r="K21" s="17">
        <f t="shared" si="4"/>
        <v>-56000</v>
      </c>
    </row>
    <row r="22" spans="1:11">
      <c r="A22" s="14" t="str">
        <f>Employee_Data!A22</f>
        <v>EMP0021</v>
      </c>
      <c r="B22" s="15" t="str">
        <f>Employee_Data!B22</f>
        <v>Engineering</v>
      </c>
      <c r="C22" s="16">
        <f>ROUND(Employee_Data!E22*1.05,-3)</f>
        <v>616000</v>
      </c>
      <c r="D22" s="16">
        <f>Employee_Data!E22</f>
        <v>587000</v>
      </c>
      <c r="E22" s="16">
        <f t="shared" si="0"/>
        <v>-29000</v>
      </c>
      <c r="F22" s="16">
        <f>ROUND(Employee_Data!G22*0.95,-3)</f>
        <v>24000</v>
      </c>
      <c r="G22" s="16">
        <f>Employee_Data!G22</f>
        <v>25000</v>
      </c>
      <c r="H22" s="16">
        <f t="shared" si="1"/>
        <v>1000</v>
      </c>
      <c r="I22" s="17">
        <f t="shared" si="2"/>
        <v>640000</v>
      </c>
      <c r="J22" s="17">
        <f t="shared" si="3"/>
        <v>612000</v>
      </c>
      <c r="K22" s="17">
        <f t="shared" si="4"/>
        <v>-28000</v>
      </c>
    </row>
    <row r="23" spans="1:11">
      <c r="A23" s="14" t="str">
        <f>Employee_Data!A23</f>
        <v>EMP0022</v>
      </c>
      <c r="B23" s="15" t="str">
        <f>Employee_Data!B23</f>
        <v>Engineering</v>
      </c>
      <c r="C23" s="16">
        <f>ROUND(Employee_Data!E23*1.05,-3)</f>
        <v>1114000</v>
      </c>
      <c r="D23" s="16">
        <f>Employee_Data!E23</f>
        <v>1061000</v>
      </c>
      <c r="E23" s="16">
        <f t="shared" si="0"/>
        <v>-53000</v>
      </c>
      <c r="F23" s="16">
        <f>ROUND(Employee_Data!G23*0.95,-3)</f>
        <v>14000</v>
      </c>
      <c r="G23" s="16">
        <f>Employee_Data!G23</f>
        <v>15000</v>
      </c>
      <c r="H23" s="16">
        <f t="shared" si="1"/>
        <v>1000</v>
      </c>
      <c r="I23" s="17">
        <f t="shared" si="2"/>
        <v>1128000</v>
      </c>
      <c r="J23" s="17">
        <f t="shared" si="3"/>
        <v>1076000</v>
      </c>
      <c r="K23" s="17">
        <f t="shared" si="4"/>
        <v>-52000</v>
      </c>
    </row>
    <row r="24" spans="1:11">
      <c r="A24" s="14" t="str">
        <f>Employee_Data!A24</f>
        <v>EMP0023</v>
      </c>
      <c r="B24" s="15" t="str">
        <f>Employee_Data!B24</f>
        <v>Engineering</v>
      </c>
      <c r="C24" s="16">
        <f>ROUND(Employee_Data!E24*1.05,-3)</f>
        <v>654000</v>
      </c>
      <c r="D24" s="16">
        <f>Employee_Data!E24</f>
        <v>623000</v>
      </c>
      <c r="E24" s="16">
        <f t="shared" si="0"/>
        <v>-31000</v>
      </c>
      <c r="F24" s="16">
        <f>ROUND(Employee_Data!G24*0.95,-3)</f>
        <v>19000</v>
      </c>
      <c r="G24" s="16">
        <f>Employee_Data!G24</f>
        <v>20000</v>
      </c>
      <c r="H24" s="16">
        <f t="shared" si="1"/>
        <v>1000</v>
      </c>
      <c r="I24" s="17">
        <f t="shared" si="2"/>
        <v>673000</v>
      </c>
      <c r="J24" s="17">
        <f t="shared" si="3"/>
        <v>643000</v>
      </c>
      <c r="K24" s="17">
        <f t="shared" si="4"/>
        <v>-30000</v>
      </c>
    </row>
    <row r="25" spans="1:11">
      <c r="A25" s="14" t="str">
        <f>Employee_Data!A25</f>
        <v>EMP0024</v>
      </c>
      <c r="B25" s="15" t="str">
        <f>Employee_Data!B25</f>
        <v>Engineering</v>
      </c>
      <c r="C25" s="16">
        <f>ROUND(Employee_Data!E25*1.05,-3)</f>
        <v>784000</v>
      </c>
      <c r="D25" s="16">
        <f>Employee_Data!E25</f>
        <v>747000</v>
      </c>
      <c r="E25" s="16">
        <f t="shared" si="0"/>
        <v>-37000</v>
      </c>
      <c r="F25" s="16">
        <f>ROUND(Employee_Data!G25*0.95,-3)</f>
        <v>21000</v>
      </c>
      <c r="G25" s="16">
        <f>Employee_Data!G25</f>
        <v>22000</v>
      </c>
      <c r="H25" s="16">
        <f t="shared" si="1"/>
        <v>1000</v>
      </c>
      <c r="I25" s="17">
        <f t="shared" si="2"/>
        <v>805000</v>
      </c>
      <c r="J25" s="17">
        <f t="shared" si="3"/>
        <v>769000</v>
      </c>
      <c r="K25" s="17">
        <f t="shared" si="4"/>
        <v>-36000</v>
      </c>
    </row>
    <row r="26" spans="1:11">
      <c r="A26" s="14" t="str">
        <f>Employee_Data!A26</f>
        <v>EMP0025</v>
      </c>
      <c r="B26" s="15" t="str">
        <f>Employee_Data!B26</f>
        <v>Engineering</v>
      </c>
      <c r="C26" s="16">
        <f>ROUND(Employee_Data!E26*1.05,-3)</f>
        <v>909000</v>
      </c>
      <c r="D26" s="16">
        <f>Employee_Data!E26</f>
        <v>866000</v>
      </c>
      <c r="E26" s="16">
        <f t="shared" si="0"/>
        <v>-43000</v>
      </c>
      <c r="F26" s="16">
        <f>ROUND(Employee_Data!G26*0.95,-3)</f>
        <v>14000</v>
      </c>
      <c r="G26" s="16">
        <f>Employee_Data!G26</f>
        <v>15000</v>
      </c>
      <c r="H26" s="16">
        <f t="shared" si="1"/>
        <v>1000</v>
      </c>
      <c r="I26" s="17">
        <f t="shared" si="2"/>
        <v>923000</v>
      </c>
      <c r="J26" s="17">
        <f t="shared" si="3"/>
        <v>881000</v>
      </c>
      <c r="K26" s="17">
        <f t="shared" si="4"/>
        <v>-42000</v>
      </c>
    </row>
    <row r="27" spans="1:11">
      <c r="A27" s="14" t="str">
        <f>Employee_Data!A27</f>
        <v>EMP0026</v>
      </c>
      <c r="B27" s="15" t="str">
        <f>Employee_Data!B27</f>
        <v>Engineering</v>
      </c>
      <c r="C27" s="16">
        <f>ROUND(Employee_Data!E27*1.05,-3)</f>
        <v>1068000</v>
      </c>
      <c r="D27" s="16">
        <f>Employee_Data!E27</f>
        <v>1017000</v>
      </c>
      <c r="E27" s="16">
        <f t="shared" si="0"/>
        <v>-51000</v>
      </c>
      <c r="F27" s="16">
        <f>ROUND(Employee_Data!G27*0.95,-3)</f>
        <v>24000</v>
      </c>
      <c r="G27" s="16">
        <f>Employee_Data!G27</f>
        <v>25000</v>
      </c>
      <c r="H27" s="16">
        <f t="shared" si="1"/>
        <v>1000</v>
      </c>
      <c r="I27" s="17">
        <f t="shared" si="2"/>
        <v>1092000</v>
      </c>
      <c r="J27" s="17">
        <f t="shared" si="3"/>
        <v>1042000</v>
      </c>
      <c r="K27" s="17">
        <f t="shared" si="4"/>
        <v>-50000</v>
      </c>
    </row>
    <row r="28" spans="1:11">
      <c r="A28" s="14" t="str">
        <f>Employee_Data!A28</f>
        <v>EMP0027</v>
      </c>
      <c r="B28" s="15" t="str">
        <f>Employee_Data!B28</f>
        <v>Engineering</v>
      </c>
      <c r="C28" s="16">
        <f>ROUND(Employee_Data!E28*1.05,-3)</f>
        <v>775000</v>
      </c>
      <c r="D28" s="16">
        <f>Employee_Data!E28</f>
        <v>738000</v>
      </c>
      <c r="E28" s="16">
        <f t="shared" si="0"/>
        <v>-37000</v>
      </c>
      <c r="F28" s="16">
        <f>ROUND(Employee_Data!G28*0.95,-3)</f>
        <v>33000</v>
      </c>
      <c r="G28" s="16">
        <f>Employee_Data!G28</f>
        <v>35000</v>
      </c>
      <c r="H28" s="16">
        <f t="shared" si="1"/>
        <v>2000</v>
      </c>
      <c r="I28" s="17">
        <f t="shared" si="2"/>
        <v>808000</v>
      </c>
      <c r="J28" s="17">
        <f t="shared" si="3"/>
        <v>773000</v>
      </c>
      <c r="K28" s="17">
        <f t="shared" si="4"/>
        <v>-35000</v>
      </c>
    </row>
    <row r="29" spans="1:11">
      <c r="A29" s="14" t="str">
        <f>Employee_Data!A29</f>
        <v>EMP0028</v>
      </c>
      <c r="B29" s="15" t="str">
        <f>Employee_Data!B29</f>
        <v>Engineering</v>
      </c>
      <c r="C29" s="16">
        <f>ROUND(Employee_Data!E29*1.05,-3)</f>
        <v>1549000</v>
      </c>
      <c r="D29" s="16">
        <f>Employee_Data!E29</f>
        <v>1475000</v>
      </c>
      <c r="E29" s="16">
        <f t="shared" si="0"/>
        <v>-74000</v>
      </c>
      <c r="F29" s="16">
        <f>ROUND(Employee_Data!G29*0.95,-3)</f>
        <v>33000</v>
      </c>
      <c r="G29" s="16">
        <f>Employee_Data!G29</f>
        <v>35000</v>
      </c>
      <c r="H29" s="16">
        <f t="shared" si="1"/>
        <v>2000</v>
      </c>
      <c r="I29" s="17">
        <f t="shared" si="2"/>
        <v>1582000</v>
      </c>
      <c r="J29" s="17">
        <f t="shared" si="3"/>
        <v>1510000</v>
      </c>
      <c r="K29" s="17">
        <f t="shared" si="4"/>
        <v>-72000</v>
      </c>
    </row>
    <row r="30" spans="1:11">
      <c r="A30" s="14" t="str">
        <f>Employee_Data!A30</f>
        <v>EMP0029</v>
      </c>
      <c r="B30" s="15" t="str">
        <f>Employee_Data!B30</f>
        <v>Engineering</v>
      </c>
      <c r="C30" s="16">
        <f>ROUND(Employee_Data!E30*1.05,-3)</f>
        <v>769000</v>
      </c>
      <c r="D30" s="16">
        <f>Employee_Data!E30</f>
        <v>732000</v>
      </c>
      <c r="E30" s="16">
        <f t="shared" si="0"/>
        <v>-37000</v>
      </c>
      <c r="F30" s="16">
        <f>ROUND(Employee_Data!G30*0.95,-3)</f>
        <v>21000</v>
      </c>
      <c r="G30" s="16">
        <f>Employee_Data!G30</f>
        <v>22000</v>
      </c>
      <c r="H30" s="16">
        <f t="shared" si="1"/>
        <v>1000</v>
      </c>
      <c r="I30" s="17">
        <f t="shared" si="2"/>
        <v>790000</v>
      </c>
      <c r="J30" s="17">
        <f t="shared" si="3"/>
        <v>754000</v>
      </c>
      <c r="K30" s="17">
        <f t="shared" si="4"/>
        <v>-36000</v>
      </c>
    </row>
    <row r="31" spans="1:11">
      <c r="A31" s="14" t="str">
        <f>Employee_Data!A31</f>
        <v>EMP0030</v>
      </c>
      <c r="B31" s="15" t="str">
        <f>Employee_Data!B31</f>
        <v>Engineering</v>
      </c>
      <c r="C31" s="16">
        <f>ROUND(Employee_Data!E31*1.05,-3)</f>
        <v>939000</v>
      </c>
      <c r="D31" s="16">
        <f>Employee_Data!E31</f>
        <v>894000</v>
      </c>
      <c r="E31" s="16">
        <f t="shared" si="0"/>
        <v>-45000</v>
      </c>
      <c r="F31" s="16">
        <f>ROUND(Employee_Data!G31*0.95,-3)</f>
        <v>29000</v>
      </c>
      <c r="G31" s="16">
        <f>Employee_Data!G31</f>
        <v>30000</v>
      </c>
      <c r="H31" s="16">
        <f t="shared" si="1"/>
        <v>1000</v>
      </c>
      <c r="I31" s="17">
        <f t="shared" si="2"/>
        <v>968000</v>
      </c>
      <c r="J31" s="17">
        <f t="shared" si="3"/>
        <v>924000</v>
      </c>
      <c r="K31" s="17">
        <f t="shared" si="4"/>
        <v>-44000</v>
      </c>
    </row>
    <row r="32" spans="1:11">
      <c r="A32" s="14" t="str">
        <f>Employee_Data!A32</f>
        <v>EMP0031</v>
      </c>
      <c r="B32" s="15" t="str">
        <f>Employee_Data!B32</f>
        <v>Engineering</v>
      </c>
      <c r="C32" s="16">
        <f>ROUND(Employee_Data!E32*1.05,-3)</f>
        <v>942000</v>
      </c>
      <c r="D32" s="16">
        <f>Employee_Data!E32</f>
        <v>897000</v>
      </c>
      <c r="E32" s="16">
        <f t="shared" si="0"/>
        <v>-45000</v>
      </c>
      <c r="F32" s="16">
        <f>ROUND(Employee_Data!G32*0.95,-3)</f>
        <v>17000</v>
      </c>
      <c r="G32" s="16">
        <f>Employee_Data!G32</f>
        <v>18000</v>
      </c>
      <c r="H32" s="16">
        <f t="shared" si="1"/>
        <v>1000</v>
      </c>
      <c r="I32" s="17">
        <f t="shared" si="2"/>
        <v>959000</v>
      </c>
      <c r="J32" s="17">
        <f t="shared" si="3"/>
        <v>915000</v>
      </c>
      <c r="K32" s="17">
        <f t="shared" si="4"/>
        <v>-44000</v>
      </c>
    </row>
    <row r="33" spans="1:11">
      <c r="A33" s="14" t="str">
        <f>Employee_Data!A33</f>
        <v>EMP0032</v>
      </c>
      <c r="B33" s="15" t="str">
        <f>Employee_Data!B33</f>
        <v>Engineering</v>
      </c>
      <c r="C33" s="16">
        <f>ROUND(Employee_Data!E33*1.05,-3)</f>
        <v>684000</v>
      </c>
      <c r="D33" s="16">
        <f>Employee_Data!E33</f>
        <v>651000</v>
      </c>
      <c r="E33" s="16">
        <f t="shared" si="0"/>
        <v>-33000</v>
      </c>
      <c r="F33" s="16">
        <f>ROUND(Employee_Data!G33*0.95,-3)</f>
        <v>21000</v>
      </c>
      <c r="G33" s="16">
        <f>Employee_Data!G33</f>
        <v>22000</v>
      </c>
      <c r="H33" s="16">
        <f t="shared" si="1"/>
        <v>1000</v>
      </c>
      <c r="I33" s="17">
        <f t="shared" si="2"/>
        <v>705000</v>
      </c>
      <c r="J33" s="17">
        <f t="shared" si="3"/>
        <v>673000</v>
      </c>
      <c r="K33" s="17">
        <f t="shared" si="4"/>
        <v>-32000</v>
      </c>
    </row>
    <row r="34" spans="1:11">
      <c r="A34" s="14" t="str">
        <f>Employee_Data!A34</f>
        <v>EMP0033</v>
      </c>
      <c r="B34" s="15" t="str">
        <f>Employee_Data!B34</f>
        <v>Engineering</v>
      </c>
      <c r="C34" s="16">
        <f>ROUND(Employee_Data!E34*1.05,-3)</f>
        <v>815000</v>
      </c>
      <c r="D34" s="16">
        <f>Employee_Data!E34</f>
        <v>776000</v>
      </c>
      <c r="E34" s="16">
        <f t="shared" si="0"/>
        <v>-39000</v>
      </c>
      <c r="F34" s="16">
        <f>ROUND(Employee_Data!G34*0.95,-3)</f>
        <v>14000</v>
      </c>
      <c r="G34" s="16">
        <f>Employee_Data!G34</f>
        <v>15000</v>
      </c>
      <c r="H34" s="16">
        <f t="shared" si="1"/>
        <v>1000</v>
      </c>
      <c r="I34" s="17">
        <f t="shared" si="2"/>
        <v>829000</v>
      </c>
      <c r="J34" s="17">
        <f t="shared" si="3"/>
        <v>791000</v>
      </c>
      <c r="K34" s="17">
        <f t="shared" si="4"/>
        <v>-38000</v>
      </c>
    </row>
    <row r="35" spans="1:11">
      <c r="A35" s="14" t="str">
        <f>Employee_Data!A35</f>
        <v>EMP0034</v>
      </c>
      <c r="B35" s="15" t="str">
        <f>Employee_Data!B35</f>
        <v>Engineering</v>
      </c>
      <c r="C35" s="16">
        <f>ROUND(Employee_Data!E35*1.05,-3)</f>
        <v>720000</v>
      </c>
      <c r="D35" s="16">
        <f>Employee_Data!E35</f>
        <v>686000</v>
      </c>
      <c r="E35" s="16">
        <f t="shared" si="0"/>
        <v>-34000</v>
      </c>
      <c r="F35" s="16">
        <f>ROUND(Employee_Data!G35*0.95,-3)</f>
        <v>21000</v>
      </c>
      <c r="G35" s="16">
        <f>Employee_Data!G35</f>
        <v>22000</v>
      </c>
      <c r="H35" s="16">
        <f t="shared" si="1"/>
        <v>1000</v>
      </c>
      <c r="I35" s="17">
        <f t="shared" si="2"/>
        <v>741000</v>
      </c>
      <c r="J35" s="17">
        <f t="shared" si="3"/>
        <v>708000</v>
      </c>
      <c r="K35" s="17">
        <f t="shared" si="4"/>
        <v>-33000</v>
      </c>
    </row>
    <row r="36" spans="1:11">
      <c r="A36" s="14" t="str">
        <f>Employee_Data!A36</f>
        <v>EMP0035</v>
      </c>
      <c r="B36" s="15" t="str">
        <f>Employee_Data!B36</f>
        <v>Engineering</v>
      </c>
      <c r="C36" s="16">
        <f>ROUND(Employee_Data!E36*1.05,-3)</f>
        <v>977000</v>
      </c>
      <c r="D36" s="16">
        <f>Employee_Data!E36</f>
        <v>930000</v>
      </c>
      <c r="E36" s="16">
        <f t="shared" si="0"/>
        <v>-47000</v>
      </c>
      <c r="F36" s="16">
        <f>ROUND(Employee_Data!G36*0.95,-3)</f>
        <v>21000</v>
      </c>
      <c r="G36" s="16">
        <f>Employee_Data!G36</f>
        <v>22000</v>
      </c>
      <c r="H36" s="16">
        <f t="shared" si="1"/>
        <v>1000</v>
      </c>
      <c r="I36" s="17">
        <f t="shared" si="2"/>
        <v>998000</v>
      </c>
      <c r="J36" s="17">
        <f t="shared" si="3"/>
        <v>952000</v>
      </c>
      <c r="K36" s="17">
        <f t="shared" si="4"/>
        <v>-46000</v>
      </c>
    </row>
    <row r="37" spans="1:11">
      <c r="A37" s="14" t="str">
        <f>Employee_Data!A37</f>
        <v>EMP0036</v>
      </c>
      <c r="B37" s="15" t="str">
        <f>Employee_Data!B37</f>
        <v>Engineering</v>
      </c>
      <c r="C37" s="16">
        <f>ROUND(Employee_Data!E37*1.05,-3)</f>
        <v>841000</v>
      </c>
      <c r="D37" s="16">
        <f>Employee_Data!E37</f>
        <v>801000</v>
      </c>
      <c r="E37" s="16">
        <f t="shared" si="0"/>
        <v>-40000</v>
      </c>
      <c r="F37" s="16">
        <f>ROUND(Employee_Data!G37*0.95,-3)</f>
        <v>29000</v>
      </c>
      <c r="G37" s="16">
        <f>Employee_Data!G37</f>
        <v>30000</v>
      </c>
      <c r="H37" s="16">
        <f t="shared" si="1"/>
        <v>1000</v>
      </c>
      <c r="I37" s="17">
        <f t="shared" si="2"/>
        <v>870000</v>
      </c>
      <c r="J37" s="17">
        <f t="shared" si="3"/>
        <v>831000</v>
      </c>
      <c r="K37" s="17">
        <f t="shared" si="4"/>
        <v>-39000</v>
      </c>
    </row>
    <row r="38" spans="1:11">
      <c r="A38" s="14" t="str">
        <f>Employee_Data!A38</f>
        <v>EMP0037</v>
      </c>
      <c r="B38" s="15" t="str">
        <f>Employee_Data!B38</f>
        <v>Engineering</v>
      </c>
      <c r="C38" s="16">
        <f>ROUND(Employee_Data!E38*1.05,-3)</f>
        <v>1259000</v>
      </c>
      <c r="D38" s="16">
        <f>Employee_Data!E38</f>
        <v>1199000</v>
      </c>
      <c r="E38" s="16">
        <f t="shared" si="0"/>
        <v>-60000</v>
      </c>
      <c r="F38" s="16">
        <f>ROUND(Employee_Data!G38*0.95,-3)</f>
        <v>17000</v>
      </c>
      <c r="G38" s="16">
        <f>Employee_Data!G38</f>
        <v>18000</v>
      </c>
      <c r="H38" s="16">
        <f t="shared" si="1"/>
        <v>1000</v>
      </c>
      <c r="I38" s="17">
        <f t="shared" si="2"/>
        <v>1276000</v>
      </c>
      <c r="J38" s="17">
        <f t="shared" si="3"/>
        <v>1217000</v>
      </c>
      <c r="K38" s="17">
        <f t="shared" si="4"/>
        <v>-59000</v>
      </c>
    </row>
    <row r="39" spans="1:11">
      <c r="A39" s="14" t="str">
        <f>Employee_Data!A39</f>
        <v>EMP0038</v>
      </c>
      <c r="B39" s="15" t="str">
        <f>Employee_Data!B39</f>
        <v>Engineering</v>
      </c>
      <c r="C39" s="16">
        <f>ROUND(Employee_Data!E39*1.05,-3)</f>
        <v>961000</v>
      </c>
      <c r="D39" s="16">
        <f>Employee_Data!E39</f>
        <v>915000</v>
      </c>
      <c r="E39" s="16">
        <f t="shared" si="0"/>
        <v>-46000</v>
      </c>
      <c r="F39" s="16">
        <f>ROUND(Employee_Data!G39*0.95,-3)</f>
        <v>21000</v>
      </c>
      <c r="G39" s="16">
        <f>Employee_Data!G39</f>
        <v>22000</v>
      </c>
      <c r="H39" s="16">
        <f t="shared" si="1"/>
        <v>1000</v>
      </c>
      <c r="I39" s="17">
        <f t="shared" si="2"/>
        <v>982000</v>
      </c>
      <c r="J39" s="17">
        <f t="shared" si="3"/>
        <v>937000</v>
      </c>
      <c r="K39" s="17">
        <f t="shared" si="4"/>
        <v>-45000</v>
      </c>
    </row>
    <row r="40" spans="1:11">
      <c r="A40" s="14" t="str">
        <f>Employee_Data!A40</f>
        <v>EMP0039</v>
      </c>
      <c r="B40" s="15" t="str">
        <f>Employee_Data!B40</f>
        <v>Engineering</v>
      </c>
      <c r="C40" s="16">
        <f>ROUND(Employee_Data!E40*1.05,-3)</f>
        <v>1147000</v>
      </c>
      <c r="D40" s="16">
        <f>Employee_Data!E40</f>
        <v>1092000</v>
      </c>
      <c r="E40" s="16">
        <f t="shared" si="0"/>
        <v>-55000</v>
      </c>
      <c r="F40" s="16">
        <f>ROUND(Employee_Data!G40*0.95,-3)</f>
        <v>21000</v>
      </c>
      <c r="G40" s="16">
        <f>Employee_Data!G40</f>
        <v>22000</v>
      </c>
      <c r="H40" s="16">
        <f t="shared" si="1"/>
        <v>1000</v>
      </c>
      <c r="I40" s="17">
        <f t="shared" si="2"/>
        <v>1168000</v>
      </c>
      <c r="J40" s="17">
        <f t="shared" si="3"/>
        <v>1114000</v>
      </c>
      <c r="K40" s="17">
        <f t="shared" si="4"/>
        <v>-54000</v>
      </c>
    </row>
    <row r="41" spans="1:11">
      <c r="A41" s="14" t="str">
        <f>Employee_Data!A41</f>
        <v>EMP0040</v>
      </c>
      <c r="B41" s="15" t="str">
        <f>Employee_Data!B41</f>
        <v>Engineering</v>
      </c>
      <c r="C41" s="16">
        <f>ROUND(Employee_Data!E41*1.05,-3)</f>
        <v>815000</v>
      </c>
      <c r="D41" s="16">
        <f>Employee_Data!E41</f>
        <v>776000</v>
      </c>
      <c r="E41" s="16">
        <f t="shared" si="0"/>
        <v>-39000</v>
      </c>
      <c r="F41" s="16">
        <f>ROUND(Employee_Data!G41*0.95,-3)</f>
        <v>17000</v>
      </c>
      <c r="G41" s="16">
        <f>Employee_Data!G41</f>
        <v>18000</v>
      </c>
      <c r="H41" s="16">
        <f t="shared" si="1"/>
        <v>1000</v>
      </c>
      <c r="I41" s="17">
        <f t="shared" si="2"/>
        <v>832000</v>
      </c>
      <c r="J41" s="17">
        <f t="shared" si="3"/>
        <v>794000</v>
      </c>
      <c r="K41" s="17">
        <f t="shared" si="4"/>
        <v>-38000</v>
      </c>
    </row>
    <row r="42" spans="1:11">
      <c r="A42" s="14" t="str">
        <f>Employee_Data!A42</f>
        <v>EMP0041</v>
      </c>
      <c r="B42" s="15" t="str">
        <f>Employee_Data!B42</f>
        <v>Engineering</v>
      </c>
      <c r="C42" s="16">
        <f>ROUND(Employee_Data!E42*1.05,-3)</f>
        <v>1651000</v>
      </c>
      <c r="D42" s="16">
        <f>Employee_Data!E42</f>
        <v>1572000</v>
      </c>
      <c r="E42" s="16">
        <f t="shared" si="0"/>
        <v>-79000</v>
      </c>
      <c r="F42" s="16">
        <f>ROUND(Employee_Data!G42*0.95,-3)</f>
        <v>21000</v>
      </c>
      <c r="G42" s="16">
        <f>Employee_Data!G42</f>
        <v>22000</v>
      </c>
      <c r="H42" s="16">
        <f t="shared" si="1"/>
        <v>1000</v>
      </c>
      <c r="I42" s="17">
        <f t="shared" si="2"/>
        <v>1672000</v>
      </c>
      <c r="J42" s="17">
        <f t="shared" si="3"/>
        <v>1594000</v>
      </c>
      <c r="K42" s="17">
        <f t="shared" si="4"/>
        <v>-78000</v>
      </c>
    </row>
    <row r="43" spans="1:11">
      <c r="A43" s="14" t="str">
        <f>Employee_Data!A43</f>
        <v>EMP0042</v>
      </c>
      <c r="B43" s="15" t="str">
        <f>Employee_Data!B43</f>
        <v>Engineering</v>
      </c>
      <c r="C43" s="16">
        <f>ROUND(Employee_Data!E43*1.05,-3)</f>
        <v>1094000</v>
      </c>
      <c r="D43" s="16">
        <f>Employee_Data!E43</f>
        <v>1042000</v>
      </c>
      <c r="E43" s="16">
        <f t="shared" si="0"/>
        <v>-52000</v>
      </c>
      <c r="F43" s="16">
        <f>ROUND(Employee_Data!G43*0.95,-3)</f>
        <v>14000</v>
      </c>
      <c r="G43" s="16">
        <f>Employee_Data!G43</f>
        <v>15000</v>
      </c>
      <c r="H43" s="16">
        <f t="shared" si="1"/>
        <v>1000</v>
      </c>
      <c r="I43" s="17">
        <f t="shared" si="2"/>
        <v>1108000</v>
      </c>
      <c r="J43" s="17">
        <f t="shared" si="3"/>
        <v>1057000</v>
      </c>
      <c r="K43" s="17">
        <f t="shared" si="4"/>
        <v>-51000</v>
      </c>
    </row>
    <row r="44" spans="1:11">
      <c r="A44" s="14" t="str">
        <f>Employee_Data!A44</f>
        <v>EMP0043</v>
      </c>
      <c r="B44" s="15" t="str">
        <f>Employee_Data!B44</f>
        <v>Engineering</v>
      </c>
      <c r="C44" s="16">
        <f>ROUND(Employee_Data!E44*1.05,-3)</f>
        <v>746000</v>
      </c>
      <c r="D44" s="16">
        <f>Employee_Data!E44</f>
        <v>710000</v>
      </c>
      <c r="E44" s="16">
        <f t="shared" si="0"/>
        <v>-36000</v>
      </c>
      <c r="F44" s="16">
        <f>ROUND(Employee_Data!G44*0.95,-3)</f>
        <v>33000</v>
      </c>
      <c r="G44" s="16">
        <f>Employee_Data!G44</f>
        <v>35000</v>
      </c>
      <c r="H44" s="16">
        <f t="shared" si="1"/>
        <v>2000</v>
      </c>
      <c r="I44" s="17">
        <f t="shared" si="2"/>
        <v>779000</v>
      </c>
      <c r="J44" s="17">
        <f t="shared" si="3"/>
        <v>745000</v>
      </c>
      <c r="K44" s="17">
        <f t="shared" si="4"/>
        <v>-34000</v>
      </c>
    </row>
    <row r="45" spans="1:11">
      <c r="A45" s="14" t="str">
        <f>Employee_Data!A45</f>
        <v>EMP0044</v>
      </c>
      <c r="B45" s="15" t="str">
        <f>Employee_Data!B45</f>
        <v>Engineering</v>
      </c>
      <c r="C45" s="16">
        <f>ROUND(Employee_Data!E45*1.05,-3)</f>
        <v>1003000</v>
      </c>
      <c r="D45" s="16">
        <f>Employee_Data!E45</f>
        <v>955000</v>
      </c>
      <c r="E45" s="16">
        <f t="shared" si="0"/>
        <v>-48000</v>
      </c>
      <c r="F45" s="16">
        <f>ROUND(Employee_Data!G45*0.95,-3)</f>
        <v>33000</v>
      </c>
      <c r="G45" s="16">
        <f>Employee_Data!G45</f>
        <v>35000</v>
      </c>
      <c r="H45" s="16">
        <f t="shared" si="1"/>
        <v>2000</v>
      </c>
      <c r="I45" s="17">
        <f t="shared" si="2"/>
        <v>1036000</v>
      </c>
      <c r="J45" s="17">
        <f t="shared" si="3"/>
        <v>990000</v>
      </c>
      <c r="K45" s="17">
        <f t="shared" si="4"/>
        <v>-46000</v>
      </c>
    </row>
    <row r="46" spans="1:11">
      <c r="A46" s="14" t="str">
        <f>Employee_Data!A46</f>
        <v>EMP0045</v>
      </c>
      <c r="B46" s="15" t="str">
        <f>Employee_Data!B46</f>
        <v>Engineering</v>
      </c>
      <c r="C46" s="16">
        <f>ROUND(Employee_Data!E46*1.05,-3)</f>
        <v>1285000</v>
      </c>
      <c r="D46" s="16">
        <f>Employee_Data!E46</f>
        <v>1224000</v>
      </c>
      <c r="E46" s="16">
        <f t="shared" si="0"/>
        <v>-61000</v>
      </c>
      <c r="F46" s="16">
        <f>ROUND(Employee_Data!G46*0.95,-3)</f>
        <v>14000</v>
      </c>
      <c r="G46" s="16">
        <f>Employee_Data!G46</f>
        <v>15000</v>
      </c>
      <c r="H46" s="16">
        <f t="shared" si="1"/>
        <v>1000</v>
      </c>
      <c r="I46" s="17">
        <f t="shared" si="2"/>
        <v>1299000</v>
      </c>
      <c r="J46" s="17">
        <f t="shared" si="3"/>
        <v>1239000</v>
      </c>
      <c r="K46" s="17">
        <f t="shared" si="4"/>
        <v>-60000</v>
      </c>
    </row>
    <row r="47" spans="1:11">
      <c r="A47" s="14" t="str">
        <f>Employee_Data!A47</f>
        <v>EMP0046</v>
      </c>
      <c r="B47" s="15" t="str">
        <f>Employee_Data!B47</f>
        <v>Engineering</v>
      </c>
      <c r="C47" s="16">
        <f>ROUND(Employee_Data!E47*1.05,-3)</f>
        <v>778000</v>
      </c>
      <c r="D47" s="16">
        <f>Employee_Data!E47</f>
        <v>741000</v>
      </c>
      <c r="E47" s="16">
        <f t="shared" si="0"/>
        <v>-37000</v>
      </c>
      <c r="F47" s="16">
        <f>ROUND(Employee_Data!G47*0.95,-3)</f>
        <v>19000</v>
      </c>
      <c r="G47" s="16">
        <f>Employee_Data!G47</f>
        <v>20000</v>
      </c>
      <c r="H47" s="16">
        <f t="shared" si="1"/>
        <v>1000</v>
      </c>
      <c r="I47" s="17">
        <f t="shared" si="2"/>
        <v>797000</v>
      </c>
      <c r="J47" s="17">
        <f t="shared" si="3"/>
        <v>761000</v>
      </c>
      <c r="K47" s="17">
        <f t="shared" si="4"/>
        <v>-36000</v>
      </c>
    </row>
    <row r="48" spans="1:11">
      <c r="A48" s="14" t="str">
        <f>Employee_Data!A48</f>
        <v>EMP0047</v>
      </c>
      <c r="B48" s="15" t="str">
        <f>Employee_Data!B48</f>
        <v>Engineering</v>
      </c>
      <c r="C48" s="16">
        <f>ROUND(Employee_Data!E48*1.05,-3)</f>
        <v>1256000</v>
      </c>
      <c r="D48" s="16">
        <f>Employee_Data!E48</f>
        <v>1196000</v>
      </c>
      <c r="E48" s="16">
        <f t="shared" si="0"/>
        <v>-60000</v>
      </c>
      <c r="F48" s="16">
        <f>ROUND(Employee_Data!G48*0.95,-3)</f>
        <v>17000</v>
      </c>
      <c r="G48" s="16">
        <f>Employee_Data!G48</f>
        <v>18000</v>
      </c>
      <c r="H48" s="16">
        <f t="shared" si="1"/>
        <v>1000</v>
      </c>
      <c r="I48" s="17">
        <f t="shared" si="2"/>
        <v>1273000</v>
      </c>
      <c r="J48" s="17">
        <f t="shared" si="3"/>
        <v>1214000</v>
      </c>
      <c r="K48" s="17">
        <f t="shared" si="4"/>
        <v>-59000</v>
      </c>
    </row>
    <row r="49" spans="1:11">
      <c r="A49" s="14" t="str">
        <f>Employee_Data!A49</f>
        <v>EMP0048</v>
      </c>
      <c r="B49" s="15" t="str">
        <f>Employee_Data!B49</f>
        <v>Engineering</v>
      </c>
      <c r="C49" s="16">
        <f>ROUND(Employee_Data!E49*1.05,-3)</f>
        <v>700000</v>
      </c>
      <c r="D49" s="16">
        <f>Employee_Data!E49</f>
        <v>667000</v>
      </c>
      <c r="E49" s="16">
        <f t="shared" si="0"/>
        <v>-33000</v>
      </c>
      <c r="F49" s="16">
        <f>ROUND(Employee_Data!G49*0.95,-3)</f>
        <v>21000</v>
      </c>
      <c r="G49" s="16">
        <f>Employee_Data!G49</f>
        <v>22000</v>
      </c>
      <c r="H49" s="16">
        <f t="shared" si="1"/>
        <v>1000</v>
      </c>
      <c r="I49" s="17">
        <f t="shared" si="2"/>
        <v>721000</v>
      </c>
      <c r="J49" s="17">
        <f t="shared" si="3"/>
        <v>689000</v>
      </c>
      <c r="K49" s="17">
        <f t="shared" si="4"/>
        <v>-32000</v>
      </c>
    </row>
    <row r="50" spans="1:11">
      <c r="A50" s="14" t="str">
        <f>Employee_Data!A50</f>
        <v>EMP0049</v>
      </c>
      <c r="B50" s="15" t="str">
        <f>Employee_Data!B50</f>
        <v>Engineering</v>
      </c>
      <c r="C50" s="16">
        <f>ROUND(Employee_Data!E50*1.05,-3)</f>
        <v>694000</v>
      </c>
      <c r="D50" s="16">
        <f>Employee_Data!E50</f>
        <v>661000</v>
      </c>
      <c r="E50" s="16">
        <f t="shared" si="0"/>
        <v>-33000</v>
      </c>
      <c r="F50" s="16">
        <f>ROUND(Employee_Data!G50*0.95,-3)</f>
        <v>27000</v>
      </c>
      <c r="G50" s="16">
        <f>Employee_Data!G50</f>
        <v>28000</v>
      </c>
      <c r="H50" s="16">
        <f t="shared" si="1"/>
        <v>1000</v>
      </c>
      <c r="I50" s="17">
        <f t="shared" si="2"/>
        <v>721000</v>
      </c>
      <c r="J50" s="17">
        <f t="shared" si="3"/>
        <v>689000</v>
      </c>
      <c r="K50" s="17">
        <f t="shared" si="4"/>
        <v>-32000</v>
      </c>
    </row>
    <row r="51" spans="1:11">
      <c r="A51" s="14" t="str">
        <f>Employee_Data!A51</f>
        <v>EMP0050</v>
      </c>
      <c r="B51" s="15" t="str">
        <f>Employee_Data!B51</f>
        <v>Engineering</v>
      </c>
      <c r="C51" s="16">
        <f>ROUND(Employee_Data!E51*1.05,-3)</f>
        <v>799000</v>
      </c>
      <c r="D51" s="16">
        <f>Employee_Data!E51</f>
        <v>761000</v>
      </c>
      <c r="E51" s="16">
        <f t="shared" si="0"/>
        <v>-38000</v>
      </c>
      <c r="F51" s="16">
        <f>ROUND(Employee_Data!G51*0.95,-3)</f>
        <v>29000</v>
      </c>
      <c r="G51" s="16">
        <f>Employee_Data!G51</f>
        <v>30000</v>
      </c>
      <c r="H51" s="16">
        <f t="shared" si="1"/>
        <v>1000</v>
      </c>
      <c r="I51" s="17">
        <f t="shared" si="2"/>
        <v>828000</v>
      </c>
      <c r="J51" s="17">
        <f t="shared" si="3"/>
        <v>791000</v>
      </c>
      <c r="K51" s="17">
        <f t="shared" si="4"/>
        <v>-37000</v>
      </c>
    </row>
    <row r="52" spans="1:11">
      <c r="A52" s="14" t="str">
        <f>Employee_Data!A52</f>
        <v>EMP0051</v>
      </c>
      <c r="B52" s="15" t="str">
        <f>Employee_Data!B52</f>
        <v>Engineering</v>
      </c>
      <c r="C52" s="16">
        <f>ROUND(Employee_Data!E52*1.05,-3)</f>
        <v>946000</v>
      </c>
      <c r="D52" s="16">
        <f>Employee_Data!E52</f>
        <v>901000</v>
      </c>
      <c r="E52" s="16">
        <f t="shared" si="0"/>
        <v>-45000</v>
      </c>
      <c r="F52" s="16">
        <f>ROUND(Employee_Data!G52*0.95,-3)</f>
        <v>17000</v>
      </c>
      <c r="G52" s="16">
        <f>Employee_Data!G52</f>
        <v>18000</v>
      </c>
      <c r="H52" s="16">
        <f t="shared" si="1"/>
        <v>1000</v>
      </c>
      <c r="I52" s="17">
        <f t="shared" si="2"/>
        <v>963000</v>
      </c>
      <c r="J52" s="17">
        <f t="shared" si="3"/>
        <v>919000</v>
      </c>
      <c r="K52" s="17">
        <f t="shared" si="4"/>
        <v>-44000</v>
      </c>
    </row>
    <row r="53" spans="1:11">
      <c r="A53" s="14" t="str">
        <f>Employee_Data!A53</f>
        <v>EMP0052</v>
      </c>
      <c r="B53" s="15" t="str">
        <f>Employee_Data!B53</f>
        <v>Engineering</v>
      </c>
      <c r="C53" s="16">
        <f>ROUND(Employee_Data!E53*1.05,-3)</f>
        <v>967000</v>
      </c>
      <c r="D53" s="16">
        <f>Employee_Data!E53</f>
        <v>921000</v>
      </c>
      <c r="E53" s="16">
        <f t="shared" si="0"/>
        <v>-46000</v>
      </c>
      <c r="F53" s="16">
        <f>ROUND(Employee_Data!G53*0.95,-3)</f>
        <v>21000</v>
      </c>
      <c r="G53" s="16">
        <f>Employee_Data!G53</f>
        <v>22000</v>
      </c>
      <c r="H53" s="16">
        <f t="shared" si="1"/>
        <v>1000</v>
      </c>
      <c r="I53" s="17">
        <f t="shared" si="2"/>
        <v>988000</v>
      </c>
      <c r="J53" s="17">
        <f t="shared" si="3"/>
        <v>943000</v>
      </c>
      <c r="K53" s="17">
        <f t="shared" si="4"/>
        <v>-45000</v>
      </c>
    </row>
    <row r="54" spans="1:11">
      <c r="A54" s="14" t="str">
        <f>Employee_Data!A54</f>
        <v>EMP0053</v>
      </c>
      <c r="B54" s="15" t="str">
        <f>Employee_Data!B54</f>
        <v>Engineering</v>
      </c>
      <c r="C54" s="16">
        <f>ROUND(Employee_Data!E54*1.05,-3)</f>
        <v>738000</v>
      </c>
      <c r="D54" s="16">
        <f>Employee_Data!E54</f>
        <v>703000</v>
      </c>
      <c r="E54" s="16">
        <f t="shared" si="0"/>
        <v>-35000</v>
      </c>
      <c r="F54" s="16">
        <f>ROUND(Employee_Data!G54*0.95,-3)</f>
        <v>21000</v>
      </c>
      <c r="G54" s="16">
        <f>Employee_Data!G54</f>
        <v>22000</v>
      </c>
      <c r="H54" s="16">
        <f t="shared" si="1"/>
        <v>1000</v>
      </c>
      <c r="I54" s="17">
        <f t="shared" si="2"/>
        <v>759000</v>
      </c>
      <c r="J54" s="17">
        <f t="shared" si="3"/>
        <v>725000</v>
      </c>
      <c r="K54" s="17">
        <f t="shared" si="4"/>
        <v>-34000</v>
      </c>
    </row>
    <row r="55" spans="1:11">
      <c r="A55" s="14" t="str">
        <f>Employee_Data!A55</f>
        <v>EMP0054</v>
      </c>
      <c r="B55" s="15" t="str">
        <f>Employee_Data!B55</f>
        <v>Engineering</v>
      </c>
      <c r="C55" s="16">
        <f>ROUND(Employee_Data!E55*1.05,-3)</f>
        <v>819000</v>
      </c>
      <c r="D55" s="16">
        <f>Employee_Data!E55</f>
        <v>780000</v>
      </c>
      <c r="E55" s="16">
        <f t="shared" si="0"/>
        <v>-39000</v>
      </c>
      <c r="F55" s="16">
        <f>ROUND(Employee_Data!G55*0.95,-3)</f>
        <v>14000</v>
      </c>
      <c r="G55" s="16">
        <f>Employee_Data!G55</f>
        <v>15000</v>
      </c>
      <c r="H55" s="16">
        <f t="shared" si="1"/>
        <v>1000</v>
      </c>
      <c r="I55" s="17">
        <f t="shared" si="2"/>
        <v>833000</v>
      </c>
      <c r="J55" s="17">
        <f t="shared" si="3"/>
        <v>795000</v>
      </c>
      <c r="K55" s="17">
        <f t="shared" si="4"/>
        <v>-38000</v>
      </c>
    </row>
    <row r="56" spans="1:11">
      <c r="A56" s="14" t="str">
        <f>Employee_Data!A56</f>
        <v>EMP0055</v>
      </c>
      <c r="B56" s="15" t="str">
        <f>Employee_Data!B56</f>
        <v>Engineering</v>
      </c>
      <c r="C56" s="16">
        <f>ROUND(Employee_Data!E56*1.05,-3)</f>
        <v>1044000</v>
      </c>
      <c r="D56" s="16">
        <f>Employee_Data!E56</f>
        <v>994000</v>
      </c>
      <c r="E56" s="16">
        <f t="shared" si="0"/>
        <v>-50000</v>
      </c>
      <c r="F56" s="16">
        <f>ROUND(Employee_Data!G56*0.95,-3)</f>
        <v>19000</v>
      </c>
      <c r="G56" s="16">
        <f>Employee_Data!G56</f>
        <v>20000</v>
      </c>
      <c r="H56" s="16">
        <f t="shared" si="1"/>
        <v>1000</v>
      </c>
      <c r="I56" s="17">
        <f t="shared" si="2"/>
        <v>1063000</v>
      </c>
      <c r="J56" s="17">
        <f t="shared" si="3"/>
        <v>1014000</v>
      </c>
      <c r="K56" s="17">
        <f t="shared" si="4"/>
        <v>-49000</v>
      </c>
    </row>
    <row r="57" spans="1:11">
      <c r="A57" s="14" t="str">
        <f>Employee_Data!A57</f>
        <v>EMP0056</v>
      </c>
      <c r="B57" s="15" t="str">
        <f>Employee_Data!B57</f>
        <v>Engineering</v>
      </c>
      <c r="C57" s="16">
        <f>ROUND(Employee_Data!E57*1.05,-3)</f>
        <v>726000</v>
      </c>
      <c r="D57" s="16">
        <f>Employee_Data!E57</f>
        <v>691000</v>
      </c>
      <c r="E57" s="16">
        <f t="shared" si="0"/>
        <v>-35000</v>
      </c>
      <c r="F57" s="16">
        <f>ROUND(Employee_Data!G57*0.95,-3)</f>
        <v>24000</v>
      </c>
      <c r="G57" s="16">
        <f>Employee_Data!G57</f>
        <v>25000</v>
      </c>
      <c r="H57" s="16">
        <f t="shared" si="1"/>
        <v>1000</v>
      </c>
      <c r="I57" s="17">
        <f t="shared" si="2"/>
        <v>750000</v>
      </c>
      <c r="J57" s="17">
        <f t="shared" si="3"/>
        <v>716000</v>
      </c>
      <c r="K57" s="17">
        <f t="shared" si="4"/>
        <v>-34000</v>
      </c>
    </row>
    <row r="58" spans="1:11">
      <c r="A58" s="14" t="str">
        <f>Employee_Data!A58</f>
        <v>EMP0057</v>
      </c>
      <c r="B58" s="15" t="str">
        <f>Employee_Data!B58</f>
        <v>Engineering</v>
      </c>
      <c r="C58" s="16">
        <f>ROUND(Employee_Data!E58*1.05,-3)</f>
        <v>843000</v>
      </c>
      <c r="D58" s="16">
        <f>Employee_Data!E58</f>
        <v>803000</v>
      </c>
      <c r="E58" s="16">
        <f t="shared" si="0"/>
        <v>-40000</v>
      </c>
      <c r="F58" s="16">
        <f>ROUND(Employee_Data!G58*0.95,-3)</f>
        <v>24000</v>
      </c>
      <c r="G58" s="16">
        <f>Employee_Data!G58</f>
        <v>25000</v>
      </c>
      <c r="H58" s="16">
        <f t="shared" si="1"/>
        <v>1000</v>
      </c>
      <c r="I58" s="17">
        <f t="shared" si="2"/>
        <v>867000</v>
      </c>
      <c r="J58" s="17">
        <f t="shared" si="3"/>
        <v>828000</v>
      </c>
      <c r="K58" s="17">
        <f t="shared" si="4"/>
        <v>-39000</v>
      </c>
    </row>
    <row r="59" spans="1:11">
      <c r="A59" s="14" t="str">
        <f>Employee_Data!A59</f>
        <v>EMP0058</v>
      </c>
      <c r="B59" s="15" t="str">
        <f>Employee_Data!B59</f>
        <v>Engineering</v>
      </c>
      <c r="C59" s="16">
        <f>ROUND(Employee_Data!E59*1.05,-3)</f>
        <v>832000</v>
      </c>
      <c r="D59" s="16">
        <f>Employee_Data!E59</f>
        <v>792000</v>
      </c>
      <c r="E59" s="16">
        <f t="shared" si="0"/>
        <v>-40000</v>
      </c>
      <c r="F59" s="16">
        <f>ROUND(Employee_Data!G59*0.95,-3)</f>
        <v>29000</v>
      </c>
      <c r="G59" s="16">
        <f>Employee_Data!G59</f>
        <v>30000</v>
      </c>
      <c r="H59" s="16">
        <f t="shared" si="1"/>
        <v>1000</v>
      </c>
      <c r="I59" s="17">
        <f t="shared" si="2"/>
        <v>861000</v>
      </c>
      <c r="J59" s="17">
        <f t="shared" si="3"/>
        <v>822000</v>
      </c>
      <c r="K59" s="17">
        <f t="shared" si="4"/>
        <v>-39000</v>
      </c>
    </row>
    <row r="60" spans="1:11">
      <c r="A60" s="14" t="str">
        <f>Employee_Data!A60</f>
        <v>EMP0059</v>
      </c>
      <c r="B60" s="15" t="str">
        <f>Employee_Data!B60</f>
        <v>Engineering</v>
      </c>
      <c r="C60" s="16">
        <f>ROUND(Employee_Data!E60*1.05,-3)</f>
        <v>736000</v>
      </c>
      <c r="D60" s="16">
        <f>Employee_Data!E60</f>
        <v>701000</v>
      </c>
      <c r="E60" s="16">
        <f t="shared" si="0"/>
        <v>-35000</v>
      </c>
      <c r="F60" s="16">
        <f>ROUND(Employee_Data!G60*0.95,-3)</f>
        <v>24000</v>
      </c>
      <c r="G60" s="16">
        <f>Employee_Data!G60</f>
        <v>25000</v>
      </c>
      <c r="H60" s="16">
        <f t="shared" si="1"/>
        <v>1000</v>
      </c>
      <c r="I60" s="17">
        <f t="shared" si="2"/>
        <v>760000</v>
      </c>
      <c r="J60" s="17">
        <f t="shared" si="3"/>
        <v>726000</v>
      </c>
      <c r="K60" s="17">
        <f t="shared" si="4"/>
        <v>-34000</v>
      </c>
    </row>
    <row r="61" spans="1:11">
      <c r="A61" s="14" t="str">
        <f>Employee_Data!A61</f>
        <v>EMP0060</v>
      </c>
      <c r="B61" s="15" t="str">
        <f>Employee_Data!B61</f>
        <v>Engineering</v>
      </c>
      <c r="C61" s="16">
        <f>ROUND(Employee_Data!E61*1.05,-3)</f>
        <v>1219000</v>
      </c>
      <c r="D61" s="16">
        <f>Employee_Data!E61</f>
        <v>1161000</v>
      </c>
      <c r="E61" s="16">
        <f t="shared" si="0"/>
        <v>-58000</v>
      </c>
      <c r="F61" s="16">
        <f>ROUND(Employee_Data!G61*0.95,-3)</f>
        <v>17000</v>
      </c>
      <c r="G61" s="16">
        <f>Employee_Data!G61</f>
        <v>18000</v>
      </c>
      <c r="H61" s="16">
        <f t="shared" si="1"/>
        <v>1000</v>
      </c>
      <c r="I61" s="17">
        <f t="shared" si="2"/>
        <v>1236000</v>
      </c>
      <c r="J61" s="17">
        <f t="shared" si="3"/>
        <v>1179000</v>
      </c>
      <c r="K61" s="17">
        <f t="shared" si="4"/>
        <v>-57000</v>
      </c>
    </row>
    <row r="62" spans="1:11">
      <c r="A62" s="14" t="str">
        <f>Employee_Data!A62</f>
        <v>EMP0061</v>
      </c>
      <c r="B62" s="15" t="str">
        <f>Employee_Data!B62</f>
        <v>Engineering</v>
      </c>
      <c r="C62" s="16">
        <f>ROUND(Employee_Data!E62*1.05,-3)</f>
        <v>750000</v>
      </c>
      <c r="D62" s="16">
        <f>Employee_Data!E62</f>
        <v>714000</v>
      </c>
      <c r="E62" s="16">
        <f t="shared" si="0"/>
        <v>-36000</v>
      </c>
      <c r="F62" s="16">
        <f>ROUND(Employee_Data!G62*0.95,-3)</f>
        <v>27000</v>
      </c>
      <c r="G62" s="16">
        <f>Employee_Data!G62</f>
        <v>28000</v>
      </c>
      <c r="H62" s="16">
        <f t="shared" si="1"/>
        <v>1000</v>
      </c>
      <c r="I62" s="17">
        <f t="shared" si="2"/>
        <v>777000</v>
      </c>
      <c r="J62" s="17">
        <f t="shared" si="3"/>
        <v>742000</v>
      </c>
      <c r="K62" s="17">
        <f t="shared" si="4"/>
        <v>-35000</v>
      </c>
    </row>
    <row r="63" spans="1:11">
      <c r="A63" s="14" t="str">
        <f>Employee_Data!A63</f>
        <v>EMP0062</v>
      </c>
      <c r="B63" s="15" t="str">
        <f>Employee_Data!B63</f>
        <v>Engineering</v>
      </c>
      <c r="C63" s="16">
        <f>ROUND(Employee_Data!E63*1.05,-3)</f>
        <v>701000</v>
      </c>
      <c r="D63" s="16">
        <f>Employee_Data!E63</f>
        <v>668000</v>
      </c>
      <c r="E63" s="16">
        <f t="shared" si="0"/>
        <v>-33000</v>
      </c>
      <c r="F63" s="16">
        <f>ROUND(Employee_Data!G63*0.95,-3)</f>
        <v>14000</v>
      </c>
      <c r="G63" s="16">
        <f>Employee_Data!G63</f>
        <v>15000</v>
      </c>
      <c r="H63" s="16">
        <f t="shared" si="1"/>
        <v>1000</v>
      </c>
      <c r="I63" s="17">
        <f t="shared" si="2"/>
        <v>715000</v>
      </c>
      <c r="J63" s="17">
        <f t="shared" si="3"/>
        <v>683000</v>
      </c>
      <c r="K63" s="17">
        <f t="shared" si="4"/>
        <v>-32000</v>
      </c>
    </row>
    <row r="64" spans="1:11">
      <c r="A64" s="14" t="str">
        <f>Employee_Data!A64</f>
        <v>EMP0063</v>
      </c>
      <c r="B64" s="15" t="str">
        <f>Employee_Data!B64</f>
        <v>Engineering</v>
      </c>
      <c r="C64" s="16">
        <f>ROUND(Employee_Data!E64*1.05,-3)</f>
        <v>722000</v>
      </c>
      <c r="D64" s="16">
        <f>Employee_Data!E64</f>
        <v>688000</v>
      </c>
      <c r="E64" s="16">
        <f t="shared" si="0"/>
        <v>-34000</v>
      </c>
      <c r="F64" s="16">
        <f>ROUND(Employee_Data!G64*0.95,-3)</f>
        <v>29000</v>
      </c>
      <c r="G64" s="16">
        <f>Employee_Data!G64</f>
        <v>30000</v>
      </c>
      <c r="H64" s="16">
        <f t="shared" si="1"/>
        <v>1000</v>
      </c>
      <c r="I64" s="17">
        <f t="shared" si="2"/>
        <v>751000</v>
      </c>
      <c r="J64" s="17">
        <f t="shared" si="3"/>
        <v>718000</v>
      </c>
      <c r="K64" s="17">
        <f t="shared" si="4"/>
        <v>-33000</v>
      </c>
    </row>
    <row r="65" spans="1:11">
      <c r="A65" s="14" t="str">
        <f>Employee_Data!A65</f>
        <v>EMP0064</v>
      </c>
      <c r="B65" s="15" t="str">
        <f>Employee_Data!B65</f>
        <v>Engineering</v>
      </c>
      <c r="C65" s="16">
        <f>ROUND(Employee_Data!E65*1.05,-3)</f>
        <v>985000</v>
      </c>
      <c r="D65" s="16">
        <f>Employee_Data!E65</f>
        <v>938000</v>
      </c>
      <c r="E65" s="16">
        <f t="shared" si="0"/>
        <v>-47000</v>
      </c>
      <c r="F65" s="16">
        <f>ROUND(Employee_Data!G65*0.95,-3)</f>
        <v>19000</v>
      </c>
      <c r="G65" s="16">
        <f>Employee_Data!G65</f>
        <v>20000</v>
      </c>
      <c r="H65" s="16">
        <f t="shared" si="1"/>
        <v>1000</v>
      </c>
      <c r="I65" s="17">
        <f t="shared" si="2"/>
        <v>1004000</v>
      </c>
      <c r="J65" s="17">
        <f t="shared" si="3"/>
        <v>958000</v>
      </c>
      <c r="K65" s="17">
        <f t="shared" si="4"/>
        <v>-46000</v>
      </c>
    </row>
    <row r="66" spans="1:11">
      <c r="A66" s="14" t="str">
        <f>Employee_Data!A66</f>
        <v>EMP0065</v>
      </c>
      <c r="B66" s="15" t="str">
        <f>Employee_Data!B66</f>
        <v>Engineering</v>
      </c>
      <c r="C66" s="16">
        <f>ROUND(Employee_Data!E66*1.05,-3)</f>
        <v>977000</v>
      </c>
      <c r="D66" s="16">
        <f>Employee_Data!E66</f>
        <v>930000</v>
      </c>
      <c r="E66" s="16">
        <f t="shared" si="0"/>
        <v>-47000</v>
      </c>
      <c r="F66" s="16">
        <f>ROUND(Employee_Data!G66*0.95,-3)</f>
        <v>27000</v>
      </c>
      <c r="G66" s="16">
        <f>Employee_Data!G66</f>
        <v>28000</v>
      </c>
      <c r="H66" s="16">
        <f t="shared" si="1"/>
        <v>1000</v>
      </c>
      <c r="I66" s="17">
        <f t="shared" si="2"/>
        <v>1004000</v>
      </c>
      <c r="J66" s="17">
        <f t="shared" si="3"/>
        <v>958000</v>
      </c>
      <c r="K66" s="17">
        <f t="shared" si="4"/>
        <v>-46000</v>
      </c>
    </row>
    <row r="67" spans="1:11">
      <c r="A67" s="14" t="str">
        <f>Employee_Data!A67</f>
        <v>EMP0066</v>
      </c>
      <c r="B67" s="15" t="str">
        <f>Employee_Data!B67</f>
        <v>Engineering</v>
      </c>
      <c r="C67" s="16">
        <f>ROUND(Employee_Data!E67*1.05,-3)</f>
        <v>1210000</v>
      </c>
      <c r="D67" s="16">
        <f>Employee_Data!E67</f>
        <v>1152000</v>
      </c>
      <c r="E67" s="16">
        <f t="shared" ref="E67:E130" si="5">D67-C67</f>
        <v>-58000</v>
      </c>
      <c r="F67" s="16">
        <f>ROUND(Employee_Data!G67*0.95,-3)</f>
        <v>21000</v>
      </c>
      <c r="G67" s="16">
        <f>Employee_Data!G67</f>
        <v>22000</v>
      </c>
      <c r="H67" s="16">
        <f t="shared" ref="H67:H130" si="6">G67-F67</f>
        <v>1000</v>
      </c>
      <c r="I67" s="17">
        <f t="shared" ref="I67:I130" si="7">C67+F67</f>
        <v>1231000</v>
      </c>
      <c r="J67" s="17">
        <f t="shared" ref="J67:J130" si="8">D67+G67</f>
        <v>1174000</v>
      </c>
      <c r="K67" s="17">
        <f t="shared" ref="K67:K130" si="9">J67-I67</f>
        <v>-57000</v>
      </c>
    </row>
    <row r="68" spans="1:11">
      <c r="A68" s="14" t="str">
        <f>Employee_Data!A68</f>
        <v>EMP0067</v>
      </c>
      <c r="B68" s="15" t="str">
        <f>Employee_Data!B68</f>
        <v>Engineering</v>
      </c>
      <c r="C68" s="16">
        <f>ROUND(Employee_Data!E68*1.05,-3)</f>
        <v>824000</v>
      </c>
      <c r="D68" s="16">
        <f>Employee_Data!E68</f>
        <v>785000</v>
      </c>
      <c r="E68" s="16">
        <f t="shared" si="5"/>
        <v>-39000</v>
      </c>
      <c r="F68" s="16">
        <f>ROUND(Employee_Data!G68*0.95,-3)</f>
        <v>33000</v>
      </c>
      <c r="G68" s="16">
        <f>Employee_Data!G68</f>
        <v>35000</v>
      </c>
      <c r="H68" s="16">
        <f t="shared" si="6"/>
        <v>2000</v>
      </c>
      <c r="I68" s="17">
        <f t="shared" si="7"/>
        <v>857000</v>
      </c>
      <c r="J68" s="17">
        <f t="shared" si="8"/>
        <v>820000</v>
      </c>
      <c r="K68" s="17">
        <f t="shared" si="9"/>
        <v>-37000</v>
      </c>
    </row>
    <row r="69" spans="1:11">
      <c r="A69" s="14" t="str">
        <f>Employee_Data!A69</f>
        <v>EMP0068</v>
      </c>
      <c r="B69" s="15" t="str">
        <f>Employee_Data!B69</f>
        <v>Engineering</v>
      </c>
      <c r="C69" s="16">
        <f>ROUND(Employee_Data!E69*1.05,-3)</f>
        <v>894000</v>
      </c>
      <c r="D69" s="16">
        <f>Employee_Data!E69</f>
        <v>851000</v>
      </c>
      <c r="E69" s="16">
        <f t="shared" si="5"/>
        <v>-43000</v>
      </c>
      <c r="F69" s="16">
        <f>ROUND(Employee_Data!G69*0.95,-3)</f>
        <v>21000</v>
      </c>
      <c r="G69" s="16">
        <f>Employee_Data!G69</f>
        <v>22000</v>
      </c>
      <c r="H69" s="16">
        <f t="shared" si="6"/>
        <v>1000</v>
      </c>
      <c r="I69" s="17">
        <f t="shared" si="7"/>
        <v>915000</v>
      </c>
      <c r="J69" s="17">
        <f t="shared" si="8"/>
        <v>873000</v>
      </c>
      <c r="K69" s="17">
        <f t="shared" si="9"/>
        <v>-42000</v>
      </c>
    </row>
    <row r="70" spans="1:11">
      <c r="A70" s="14" t="str">
        <f>Employee_Data!A70</f>
        <v>EMP0069</v>
      </c>
      <c r="B70" s="15" t="str">
        <f>Employee_Data!B70</f>
        <v>Engineering</v>
      </c>
      <c r="C70" s="16">
        <f>ROUND(Employee_Data!E70*1.05,-3)</f>
        <v>933000</v>
      </c>
      <c r="D70" s="16">
        <f>Employee_Data!E70</f>
        <v>889000</v>
      </c>
      <c r="E70" s="16">
        <f t="shared" si="5"/>
        <v>-44000</v>
      </c>
      <c r="F70" s="16">
        <f>ROUND(Employee_Data!G70*0.95,-3)</f>
        <v>17000</v>
      </c>
      <c r="G70" s="16">
        <f>Employee_Data!G70</f>
        <v>18000</v>
      </c>
      <c r="H70" s="16">
        <f t="shared" si="6"/>
        <v>1000</v>
      </c>
      <c r="I70" s="17">
        <f t="shared" si="7"/>
        <v>950000</v>
      </c>
      <c r="J70" s="17">
        <f t="shared" si="8"/>
        <v>907000</v>
      </c>
      <c r="K70" s="17">
        <f t="shared" si="9"/>
        <v>-43000</v>
      </c>
    </row>
    <row r="71" spans="1:11">
      <c r="A71" s="14" t="str">
        <f>Employee_Data!A71</f>
        <v>EMP0070</v>
      </c>
      <c r="B71" s="15" t="str">
        <f>Employee_Data!B71</f>
        <v>Engineering</v>
      </c>
      <c r="C71" s="16">
        <f>ROUND(Employee_Data!E71*1.05,-3)</f>
        <v>788000</v>
      </c>
      <c r="D71" s="16">
        <f>Employee_Data!E71</f>
        <v>750000</v>
      </c>
      <c r="E71" s="16">
        <f t="shared" si="5"/>
        <v>-38000</v>
      </c>
      <c r="F71" s="16">
        <f>ROUND(Employee_Data!G71*0.95,-3)</f>
        <v>27000</v>
      </c>
      <c r="G71" s="16">
        <f>Employee_Data!G71</f>
        <v>28000</v>
      </c>
      <c r="H71" s="16">
        <f t="shared" si="6"/>
        <v>1000</v>
      </c>
      <c r="I71" s="17">
        <f t="shared" si="7"/>
        <v>815000</v>
      </c>
      <c r="J71" s="17">
        <f t="shared" si="8"/>
        <v>778000</v>
      </c>
      <c r="K71" s="17">
        <f t="shared" si="9"/>
        <v>-37000</v>
      </c>
    </row>
    <row r="72" spans="1:11">
      <c r="A72" s="14" t="str">
        <f>Employee_Data!A72</f>
        <v>EMP0071</v>
      </c>
      <c r="B72" s="15" t="str">
        <f>Employee_Data!B72</f>
        <v>Engineering</v>
      </c>
      <c r="C72" s="16">
        <f>ROUND(Employee_Data!E72*1.05,-3)</f>
        <v>842000</v>
      </c>
      <c r="D72" s="16">
        <f>Employee_Data!E72</f>
        <v>802000</v>
      </c>
      <c r="E72" s="16">
        <f t="shared" si="5"/>
        <v>-40000</v>
      </c>
      <c r="F72" s="16">
        <f>ROUND(Employee_Data!G72*0.95,-3)</f>
        <v>24000</v>
      </c>
      <c r="G72" s="16">
        <f>Employee_Data!G72</f>
        <v>25000</v>
      </c>
      <c r="H72" s="16">
        <f t="shared" si="6"/>
        <v>1000</v>
      </c>
      <c r="I72" s="17">
        <f t="shared" si="7"/>
        <v>866000</v>
      </c>
      <c r="J72" s="17">
        <f t="shared" si="8"/>
        <v>827000</v>
      </c>
      <c r="K72" s="17">
        <f t="shared" si="9"/>
        <v>-39000</v>
      </c>
    </row>
    <row r="73" spans="1:11">
      <c r="A73" s="14" t="str">
        <f>Employee_Data!A73</f>
        <v>EMP0072</v>
      </c>
      <c r="B73" s="15" t="str">
        <f>Employee_Data!B73</f>
        <v>Engineering</v>
      </c>
      <c r="C73" s="16">
        <f>ROUND(Employee_Data!E73*1.05,-3)</f>
        <v>922000</v>
      </c>
      <c r="D73" s="16">
        <f>Employee_Data!E73</f>
        <v>878000</v>
      </c>
      <c r="E73" s="16">
        <f t="shared" si="5"/>
        <v>-44000</v>
      </c>
      <c r="F73" s="16">
        <f>ROUND(Employee_Data!G73*0.95,-3)</f>
        <v>29000</v>
      </c>
      <c r="G73" s="16">
        <f>Employee_Data!G73</f>
        <v>30000</v>
      </c>
      <c r="H73" s="16">
        <f t="shared" si="6"/>
        <v>1000</v>
      </c>
      <c r="I73" s="17">
        <f t="shared" si="7"/>
        <v>951000</v>
      </c>
      <c r="J73" s="17">
        <f t="shared" si="8"/>
        <v>908000</v>
      </c>
      <c r="K73" s="17">
        <f t="shared" si="9"/>
        <v>-43000</v>
      </c>
    </row>
    <row r="74" spans="1:11">
      <c r="A74" s="14" t="str">
        <f>Employee_Data!A74</f>
        <v>EMP0073</v>
      </c>
      <c r="B74" s="15" t="str">
        <f>Employee_Data!B74</f>
        <v>Engineering</v>
      </c>
      <c r="C74" s="16">
        <f>ROUND(Employee_Data!E74*1.05,-3)</f>
        <v>1137000</v>
      </c>
      <c r="D74" s="16">
        <f>Employee_Data!E74</f>
        <v>1083000</v>
      </c>
      <c r="E74" s="16">
        <f t="shared" si="5"/>
        <v>-54000</v>
      </c>
      <c r="F74" s="16">
        <f>ROUND(Employee_Data!G74*0.95,-3)</f>
        <v>24000</v>
      </c>
      <c r="G74" s="16">
        <f>Employee_Data!G74</f>
        <v>25000</v>
      </c>
      <c r="H74" s="16">
        <f t="shared" si="6"/>
        <v>1000</v>
      </c>
      <c r="I74" s="17">
        <f t="shared" si="7"/>
        <v>1161000</v>
      </c>
      <c r="J74" s="17">
        <f t="shared" si="8"/>
        <v>1108000</v>
      </c>
      <c r="K74" s="17">
        <f t="shared" si="9"/>
        <v>-53000</v>
      </c>
    </row>
    <row r="75" spans="1:11">
      <c r="A75" s="14" t="str">
        <f>Employee_Data!A75</f>
        <v>EMP0074</v>
      </c>
      <c r="B75" s="15" t="str">
        <f>Employee_Data!B75</f>
        <v>Engineering</v>
      </c>
      <c r="C75" s="16">
        <f>ROUND(Employee_Data!E75*1.05,-3)</f>
        <v>1172000</v>
      </c>
      <c r="D75" s="16">
        <f>Employee_Data!E75</f>
        <v>1116000</v>
      </c>
      <c r="E75" s="16">
        <f t="shared" si="5"/>
        <v>-56000</v>
      </c>
      <c r="F75" s="16">
        <f>ROUND(Employee_Data!G75*0.95,-3)</f>
        <v>21000</v>
      </c>
      <c r="G75" s="16">
        <f>Employee_Data!G75</f>
        <v>22000</v>
      </c>
      <c r="H75" s="16">
        <f t="shared" si="6"/>
        <v>1000</v>
      </c>
      <c r="I75" s="17">
        <f t="shared" si="7"/>
        <v>1193000</v>
      </c>
      <c r="J75" s="17">
        <f t="shared" si="8"/>
        <v>1138000</v>
      </c>
      <c r="K75" s="17">
        <f t="shared" si="9"/>
        <v>-55000</v>
      </c>
    </row>
    <row r="76" spans="1:11">
      <c r="A76" s="14" t="str">
        <f>Employee_Data!A76</f>
        <v>EMP0075</v>
      </c>
      <c r="B76" s="15" t="str">
        <f>Employee_Data!B76</f>
        <v>Engineering</v>
      </c>
      <c r="C76" s="16">
        <f>ROUND(Employee_Data!E76*1.05,-3)</f>
        <v>791000</v>
      </c>
      <c r="D76" s="16">
        <f>Employee_Data!E76</f>
        <v>753000</v>
      </c>
      <c r="E76" s="16">
        <f t="shared" si="5"/>
        <v>-38000</v>
      </c>
      <c r="F76" s="16">
        <f>ROUND(Employee_Data!G76*0.95,-3)</f>
        <v>27000</v>
      </c>
      <c r="G76" s="16">
        <f>Employee_Data!G76</f>
        <v>28000</v>
      </c>
      <c r="H76" s="16">
        <f t="shared" si="6"/>
        <v>1000</v>
      </c>
      <c r="I76" s="17">
        <f t="shared" si="7"/>
        <v>818000</v>
      </c>
      <c r="J76" s="17">
        <f t="shared" si="8"/>
        <v>781000</v>
      </c>
      <c r="K76" s="17">
        <f t="shared" si="9"/>
        <v>-37000</v>
      </c>
    </row>
    <row r="77" spans="1:11">
      <c r="A77" s="14" t="str">
        <f>Employee_Data!A77</f>
        <v>EMP0076</v>
      </c>
      <c r="B77" s="15" t="str">
        <f>Employee_Data!B77</f>
        <v>Engineering</v>
      </c>
      <c r="C77" s="16">
        <f>ROUND(Employee_Data!E77*1.05,-3)</f>
        <v>831000</v>
      </c>
      <c r="D77" s="16">
        <f>Employee_Data!E77</f>
        <v>791000</v>
      </c>
      <c r="E77" s="16">
        <f t="shared" si="5"/>
        <v>-40000</v>
      </c>
      <c r="F77" s="16">
        <f>ROUND(Employee_Data!G77*0.95,-3)</f>
        <v>29000</v>
      </c>
      <c r="G77" s="16">
        <f>Employee_Data!G77</f>
        <v>30000</v>
      </c>
      <c r="H77" s="16">
        <f t="shared" si="6"/>
        <v>1000</v>
      </c>
      <c r="I77" s="17">
        <f t="shared" si="7"/>
        <v>860000</v>
      </c>
      <c r="J77" s="17">
        <f t="shared" si="8"/>
        <v>821000</v>
      </c>
      <c r="K77" s="17">
        <f t="shared" si="9"/>
        <v>-39000</v>
      </c>
    </row>
    <row r="78" spans="1:11">
      <c r="A78" s="14" t="str">
        <f>Employee_Data!A78</f>
        <v>EMP0077</v>
      </c>
      <c r="B78" s="15" t="str">
        <f>Employee_Data!B78</f>
        <v>Engineering</v>
      </c>
      <c r="C78" s="16">
        <f>ROUND(Employee_Data!E78*1.05,-3)</f>
        <v>966000</v>
      </c>
      <c r="D78" s="16">
        <f>Employee_Data!E78</f>
        <v>920000</v>
      </c>
      <c r="E78" s="16">
        <f t="shared" si="5"/>
        <v>-46000</v>
      </c>
      <c r="F78" s="16">
        <f>ROUND(Employee_Data!G78*0.95,-3)</f>
        <v>29000</v>
      </c>
      <c r="G78" s="16">
        <f>Employee_Data!G78</f>
        <v>30000</v>
      </c>
      <c r="H78" s="16">
        <f t="shared" si="6"/>
        <v>1000</v>
      </c>
      <c r="I78" s="17">
        <f t="shared" si="7"/>
        <v>995000</v>
      </c>
      <c r="J78" s="17">
        <f t="shared" si="8"/>
        <v>950000</v>
      </c>
      <c r="K78" s="17">
        <f t="shared" si="9"/>
        <v>-45000</v>
      </c>
    </row>
    <row r="79" spans="1:11">
      <c r="A79" s="14" t="str">
        <f>Employee_Data!A79</f>
        <v>EMP0078</v>
      </c>
      <c r="B79" s="15" t="str">
        <f>Employee_Data!B79</f>
        <v>Engineering</v>
      </c>
      <c r="C79" s="16">
        <f>ROUND(Employee_Data!E79*1.05,-3)</f>
        <v>707000</v>
      </c>
      <c r="D79" s="16">
        <f>Employee_Data!E79</f>
        <v>673000</v>
      </c>
      <c r="E79" s="16">
        <f t="shared" si="5"/>
        <v>-34000</v>
      </c>
      <c r="F79" s="16">
        <f>ROUND(Employee_Data!G79*0.95,-3)</f>
        <v>14000</v>
      </c>
      <c r="G79" s="16">
        <f>Employee_Data!G79</f>
        <v>15000</v>
      </c>
      <c r="H79" s="16">
        <f t="shared" si="6"/>
        <v>1000</v>
      </c>
      <c r="I79" s="17">
        <f t="shared" si="7"/>
        <v>721000</v>
      </c>
      <c r="J79" s="17">
        <f t="shared" si="8"/>
        <v>688000</v>
      </c>
      <c r="K79" s="17">
        <f t="shared" si="9"/>
        <v>-33000</v>
      </c>
    </row>
    <row r="80" spans="1:11">
      <c r="A80" s="14" t="str">
        <f>Employee_Data!A80</f>
        <v>EMP0079</v>
      </c>
      <c r="B80" s="15" t="str">
        <f>Employee_Data!B80</f>
        <v>Engineering</v>
      </c>
      <c r="C80" s="16">
        <f>ROUND(Employee_Data!E80*1.05,-3)</f>
        <v>811000</v>
      </c>
      <c r="D80" s="16">
        <f>Employee_Data!E80</f>
        <v>772000</v>
      </c>
      <c r="E80" s="16">
        <f t="shared" si="5"/>
        <v>-39000</v>
      </c>
      <c r="F80" s="16">
        <f>ROUND(Employee_Data!G80*0.95,-3)</f>
        <v>27000</v>
      </c>
      <c r="G80" s="16">
        <f>Employee_Data!G80</f>
        <v>28000</v>
      </c>
      <c r="H80" s="16">
        <f t="shared" si="6"/>
        <v>1000</v>
      </c>
      <c r="I80" s="17">
        <f t="shared" si="7"/>
        <v>838000</v>
      </c>
      <c r="J80" s="17">
        <f t="shared" si="8"/>
        <v>800000</v>
      </c>
      <c r="K80" s="17">
        <f t="shared" si="9"/>
        <v>-38000</v>
      </c>
    </row>
    <row r="81" spans="1:11">
      <c r="A81" s="14" t="str">
        <f>Employee_Data!A81</f>
        <v>EMP0080</v>
      </c>
      <c r="B81" s="15" t="str">
        <f>Employee_Data!B81</f>
        <v>Engineering</v>
      </c>
      <c r="C81" s="16">
        <f>ROUND(Employee_Data!E81*1.05,-3)</f>
        <v>1094000</v>
      </c>
      <c r="D81" s="16">
        <f>Employee_Data!E81</f>
        <v>1042000</v>
      </c>
      <c r="E81" s="16">
        <f t="shared" si="5"/>
        <v>-52000</v>
      </c>
      <c r="F81" s="16">
        <f>ROUND(Employee_Data!G81*0.95,-3)</f>
        <v>19000</v>
      </c>
      <c r="G81" s="16">
        <f>Employee_Data!G81</f>
        <v>20000</v>
      </c>
      <c r="H81" s="16">
        <f t="shared" si="6"/>
        <v>1000</v>
      </c>
      <c r="I81" s="17">
        <f t="shared" si="7"/>
        <v>1113000</v>
      </c>
      <c r="J81" s="17">
        <f t="shared" si="8"/>
        <v>1062000</v>
      </c>
      <c r="K81" s="17">
        <f t="shared" si="9"/>
        <v>-51000</v>
      </c>
    </row>
    <row r="82" spans="1:11">
      <c r="A82" s="14" t="str">
        <f>Employee_Data!A82</f>
        <v>EMP0081</v>
      </c>
      <c r="B82" s="15" t="str">
        <f>Employee_Data!B82</f>
        <v>Engineering</v>
      </c>
      <c r="C82" s="16">
        <f>ROUND(Employee_Data!E82*1.05,-3)</f>
        <v>791000</v>
      </c>
      <c r="D82" s="16">
        <f>Employee_Data!E82</f>
        <v>753000</v>
      </c>
      <c r="E82" s="16">
        <f t="shared" si="5"/>
        <v>-38000</v>
      </c>
      <c r="F82" s="16">
        <f>ROUND(Employee_Data!G82*0.95,-3)</f>
        <v>17000</v>
      </c>
      <c r="G82" s="16">
        <f>Employee_Data!G82</f>
        <v>18000</v>
      </c>
      <c r="H82" s="16">
        <f t="shared" si="6"/>
        <v>1000</v>
      </c>
      <c r="I82" s="17">
        <f t="shared" si="7"/>
        <v>808000</v>
      </c>
      <c r="J82" s="17">
        <f t="shared" si="8"/>
        <v>771000</v>
      </c>
      <c r="K82" s="17">
        <f t="shared" si="9"/>
        <v>-37000</v>
      </c>
    </row>
    <row r="83" spans="1:11">
      <c r="A83" s="14" t="str">
        <f>Employee_Data!A83</f>
        <v>EMP0082</v>
      </c>
      <c r="B83" s="15" t="str">
        <f>Employee_Data!B83</f>
        <v>Engineering</v>
      </c>
      <c r="C83" s="16">
        <f>ROUND(Employee_Data!E83*1.05,-3)</f>
        <v>936000</v>
      </c>
      <c r="D83" s="16">
        <f>Employee_Data!E83</f>
        <v>891000</v>
      </c>
      <c r="E83" s="16">
        <f t="shared" si="5"/>
        <v>-45000</v>
      </c>
      <c r="F83" s="16">
        <f>ROUND(Employee_Data!G83*0.95,-3)</f>
        <v>21000</v>
      </c>
      <c r="G83" s="16">
        <f>Employee_Data!G83</f>
        <v>22000</v>
      </c>
      <c r="H83" s="16">
        <f t="shared" si="6"/>
        <v>1000</v>
      </c>
      <c r="I83" s="17">
        <f t="shared" si="7"/>
        <v>957000</v>
      </c>
      <c r="J83" s="17">
        <f t="shared" si="8"/>
        <v>913000</v>
      </c>
      <c r="K83" s="17">
        <f t="shared" si="9"/>
        <v>-44000</v>
      </c>
    </row>
    <row r="84" spans="1:11">
      <c r="A84" s="14" t="str">
        <f>Employee_Data!A84</f>
        <v>EMP0083</v>
      </c>
      <c r="B84" s="15" t="str">
        <f>Employee_Data!B84</f>
        <v>Engineering</v>
      </c>
      <c r="C84" s="16">
        <f>ROUND(Employee_Data!E84*1.05,-3)</f>
        <v>844000</v>
      </c>
      <c r="D84" s="16">
        <f>Employee_Data!E84</f>
        <v>804000</v>
      </c>
      <c r="E84" s="16">
        <f t="shared" si="5"/>
        <v>-40000</v>
      </c>
      <c r="F84" s="16">
        <f>ROUND(Employee_Data!G84*0.95,-3)</f>
        <v>17000</v>
      </c>
      <c r="G84" s="16">
        <f>Employee_Data!G84</f>
        <v>18000</v>
      </c>
      <c r="H84" s="16">
        <f t="shared" si="6"/>
        <v>1000</v>
      </c>
      <c r="I84" s="17">
        <f t="shared" si="7"/>
        <v>861000</v>
      </c>
      <c r="J84" s="17">
        <f t="shared" si="8"/>
        <v>822000</v>
      </c>
      <c r="K84" s="17">
        <f t="shared" si="9"/>
        <v>-39000</v>
      </c>
    </row>
    <row r="85" spans="1:11">
      <c r="A85" s="14" t="str">
        <f>Employee_Data!A85</f>
        <v>EMP0084</v>
      </c>
      <c r="B85" s="15" t="str">
        <f>Employee_Data!B85</f>
        <v>Engineering</v>
      </c>
      <c r="C85" s="16">
        <f>ROUND(Employee_Data!E85*1.05,-3)</f>
        <v>700000</v>
      </c>
      <c r="D85" s="16">
        <f>Employee_Data!E85</f>
        <v>667000</v>
      </c>
      <c r="E85" s="16">
        <f t="shared" si="5"/>
        <v>-33000</v>
      </c>
      <c r="F85" s="16">
        <f>ROUND(Employee_Data!G85*0.95,-3)</f>
        <v>29000</v>
      </c>
      <c r="G85" s="16">
        <f>Employee_Data!G85</f>
        <v>30000</v>
      </c>
      <c r="H85" s="16">
        <f t="shared" si="6"/>
        <v>1000</v>
      </c>
      <c r="I85" s="17">
        <f t="shared" si="7"/>
        <v>729000</v>
      </c>
      <c r="J85" s="17">
        <f t="shared" si="8"/>
        <v>697000</v>
      </c>
      <c r="K85" s="17">
        <f t="shared" si="9"/>
        <v>-32000</v>
      </c>
    </row>
    <row r="86" spans="1:11">
      <c r="A86" s="14" t="str">
        <f>Employee_Data!A86</f>
        <v>EMP0085</v>
      </c>
      <c r="B86" s="15" t="str">
        <f>Employee_Data!B86</f>
        <v>Engineering</v>
      </c>
      <c r="C86" s="16">
        <f>ROUND(Employee_Data!E86*1.05,-3)</f>
        <v>790000</v>
      </c>
      <c r="D86" s="16">
        <f>Employee_Data!E86</f>
        <v>752000</v>
      </c>
      <c r="E86" s="16">
        <f t="shared" si="5"/>
        <v>-38000</v>
      </c>
      <c r="F86" s="16">
        <f>ROUND(Employee_Data!G86*0.95,-3)</f>
        <v>17000</v>
      </c>
      <c r="G86" s="16">
        <f>Employee_Data!G86</f>
        <v>18000</v>
      </c>
      <c r="H86" s="16">
        <f t="shared" si="6"/>
        <v>1000</v>
      </c>
      <c r="I86" s="17">
        <f t="shared" si="7"/>
        <v>807000</v>
      </c>
      <c r="J86" s="17">
        <f t="shared" si="8"/>
        <v>770000</v>
      </c>
      <c r="K86" s="17">
        <f t="shared" si="9"/>
        <v>-37000</v>
      </c>
    </row>
    <row r="87" spans="1:11">
      <c r="A87" s="14" t="str">
        <f>Employee_Data!A87</f>
        <v>EMP0086</v>
      </c>
      <c r="B87" s="15" t="str">
        <f>Employee_Data!B87</f>
        <v>Engineering</v>
      </c>
      <c r="C87" s="16">
        <f>ROUND(Employee_Data!E87*1.05,-3)</f>
        <v>814000</v>
      </c>
      <c r="D87" s="16">
        <f>Employee_Data!E87</f>
        <v>775000</v>
      </c>
      <c r="E87" s="16">
        <f t="shared" si="5"/>
        <v>-39000</v>
      </c>
      <c r="F87" s="16">
        <f>ROUND(Employee_Data!G87*0.95,-3)</f>
        <v>33000</v>
      </c>
      <c r="G87" s="16">
        <f>Employee_Data!G87</f>
        <v>35000</v>
      </c>
      <c r="H87" s="16">
        <f t="shared" si="6"/>
        <v>2000</v>
      </c>
      <c r="I87" s="17">
        <f t="shared" si="7"/>
        <v>847000</v>
      </c>
      <c r="J87" s="17">
        <f t="shared" si="8"/>
        <v>810000</v>
      </c>
      <c r="K87" s="17">
        <f t="shared" si="9"/>
        <v>-37000</v>
      </c>
    </row>
    <row r="88" spans="1:11">
      <c r="A88" s="14" t="str">
        <f>Employee_Data!A88</f>
        <v>EMP0087</v>
      </c>
      <c r="B88" s="15" t="str">
        <f>Employee_Data!B88</f>
        <v>Engineering</v>
      </c>
      <c r="C88" s="16">
        <f>ROUND(Employee_Data!E88*1.05,-3)</f>
        <v>821000</v>
      </c>
      <c r="D88" s="16">
        <f>Employee_Data!E88</f>
        <v>782000</v>
      </c>
      <c r="E88" s="16">
        <f t="shared" si="5"/>
        <v>-39000</v>
      </c>
      <c r="F88" s="16">
        <f>ROUND(Employee_Data!G88*0.95,-3)</f>
        <v>33000</v>
      </c>
      <c r="G88" s="16">
        <f>Employee_Data!G88</f>
        <v>35000</v>
      </c>
      <c r="H88" s="16">
        <f t="shared" si="6"/>
        <v>2000</v>
      </c>
      <c r="I88" s="17">
        <f t="shared" si="7"/>
        <v>854000</v>
      </c>
      <c r="J88" s="17">
        <f t="shared" si="8"/>
        <v>817000</v>
      </c>
      <c r="K88" s="17">
        <f t="shared" si="9"/>
        <v>-37000</v>
      </c>
    </row>
    <row r="89" spans="1:11">
      <c r="A89" s="14" t="str">
        <f>Employee_Data!A89</f>
        <v>EMP0088</v>
      </c>
      <c r="B89" s="15" t="str">
        <f>Employee_Data!B89</f>
        <v>Engineering</v>
      </c>
      <c r="C89" s="16">
        <f>ROUND(Employee_Data!E89*1.05,-3)</f>
        <v>1570000</v>
      </c>
      <c r="D89" s="16">
        <f>Employee_Data!E89</f>
        <v>1495000</v>
      </c>
      <c r="E89" s="16">
        <f t="shared" si="5"/>
        <v>-75000</v>
      </c>
      <c r="F89" s="16">
        <f>ROUND(Employee_Data!G89*0.95,-3)</f>
        <v>33000</v>
      </c>
      <c r="G89" s="16">
        <f>Employee_Data!G89</f>
        <v>35000</v>
      </c>
      <c r="H89" s="16">
        <f t="shared" si="6"/>
        <v>2000</v>
      </c>
      <c r="I89" s="17">
        <f t="shared" si="7"/>
        <v>1603000</v>
      </c>
      <c r="J89" s="17">
        <f t="shared" si="8"/>
        <v>1530000</v>
      </c>
      <c r="K89" s="17">
        <f t="shared" si="9"/>
        <v>-73000</v>
      </c>
    </row>
    <row r="90" spans="1:11">
      <c r="A90" s="14" t="str">
        <f>Employee_Data!A90</f>
        <v>EMP0089</v>
      </c>
      <c r="B90" s="15" t="str">
        <f>Employee_Data!B90</f>
        <v>Engineering</v>
      </c>
      <c r="C90" s="16">
        <f>ROUND(Employee_Data!E90*1.05,-3)</f>
        <v>902000</v>
      </c>
      <c r="D90" s="16">
        <f>Employee_Data!E90</f>
        <v>859000</v>
      </c>
      <c r="E90" s="16">
        <f t="shared" si="5"/>
        <v>-43000</v>
      </c>
      <c r="F90" s="16">
        <f>ROUND(Employee_Data!G90*0.95,-3)</f>
        <v>33000</v>
      </c>
      <c r="G90" s="16">
        <f>Employee_Data!G90</f>
        <v>35000</v>
      </c>
      <c r="H90" s="16">
        <f t="shared" si="6"/>
        <v>2000</v>
      </c>
      <c r="I90" s="17">
        <f t="shared" si="7"/>
        <v>935000</v>
      </c>
      <c r="J90" s="17">
        <f t="shared" si="8"/>
        <v>894000</v>
      </c>
      <c r="K90" s="17">
        <f t="shared" si="9"/>
        <v>-41000</v>
      </c>
    </row>
    <row r="91" spans="1:11">
      <c r="A91" s="14" t="str">
        <f>Employee_Data!A91</f>
        <v>EMP0090</v>
      </c>
      <c r="B91" s="15" t="str">
        <f>Employee_Data!B91</f>
        <v>Engineering</v>
      </c>
      <c r="C91" s="16">
        <f>ROUND(Employee_Data!E91*1.05,-3)</f>
        <v>897000</v>
      </c>
      <c r="D91" s="16">
        <f>Employee_Data!E91</f>
        <v>854000</v>
      </c>
      <c r="E91" s="16">
        <f t="shared" si="5"/>
        <v>-43000</v>
      </c>
      <c r="F91" s="16">
        <f>ROUND(Employee_Data!G91*0.95,-3)</f>
        <v>21000</v>
      </c>
      <c r="G91" s="16">
        <f>Employee_Data!G91</f>
        <v>22000</v>
      </c>
      <c r="H91" s="16">
        <f t="shared" si="6"/>
        <v>1000</v>
      </c>
      <c r="I91" s="17">
        <f t="shared" si="7"/>
        <v>918000</v>
      </c>
      <c r="J91" s="17">
        <f t="shared" si="8"/>
        <v>876000</v>
      </c>
      <c r="K91" s="17">
        <f t="shared" si="9"/>
        <v>-42000</v>
      </c>
    </row>
    <row r="92" spans="1:11">
      <c r="A92" s="14" t="str">
        <f>Employee_Data!A92</f>
        <v>EMP0091</v>
      </c>
      <c r="B92" s="15" t="str">
        <f>Employee_Data!B92</f>
        <v>Engineering</v>
      </c>
      <c r="C92" s="16">
        <f>ROUND(Employee_Data!E92*1.05,-3)</f>
        <v>810000</v>
      </c>
      <c r="D92" s="16">
        <f>Employee_Data!E92</f>
        <v>771000</v>
      </c>
      <c r="E92" s="16">
        <f t="shared" si="5"/>
        <v>-39000</v>
      </c>
      <c r="F92" s="16">
        <f>ROUND(Employee_Data!G92*0.95,-3)</f>
        <v>21000</v>
      </c>
      <c r="G92" s="16">
        <f>Employee_Data!G92</f>
        <v>22000</v>
      </c>
      <c r="H92" s="16">
        <f t="shared" si="6"/>
        <v>1000</v>
      </c>
      <c r="I92" s="17">
        <f t="shared" si="7"/>
        <v>831000</v>
      </c>
      <c r="J92" s="17">
        <f t="shared" si="8"/>
        <v>793000</v>
      </c>
      <c r="K92" s="17">
        <f t="shared" si="9"/>
        <v>-38000</v>
      </c>
    </row>
    <row r="93" spans="1:11">
      <c r="A93" s="14" t="str">
        <f>Employee_Data!A93</f>
        <v>EMP0092</v>
      </c>
      <c r="B93" s="15" t="str">
        <f>Employee_Data!B93</f>
        <v>Engineering</v>
      </c>
      <c r="C93" s="16">
        <f>ROUND(Employee_Data!E93*1.05,-3)</f>
        <v>728000</v>
      </c>
      <c r="D93" s="16">
        <f>Employee_Data!E93</f>
        <v>693000</v>
      </c>
      <c r="E93" s="16">
        <f t="shared" si="5"/>
        <v>-35000</v>
      </c>
      <c r="F93" s="16">
        <f>ROUND(Employee_Data!G93*0.95,-3)</f>
        <v>27000</v>
      </c>
      <c r="G93" s="16">
        <f>Employee_Data!G93</f>
        <v>28000</v>
      </c>
      <c r="H93" s="16">
        <f t="shared" si="6"/>
        <v>1000</v>
      </c>
      <c r="I93" s="17">
        <f t="shared" si="7"/>
        <v>755000</v>
      </c>
      <c r="J93" s="17">
        <f t="shared" si="8"/>
        <v>721000</v>
      </c>
      <c r="K93" s="17">
        <f t="shared" si="9"/>
        <v>-34000</v>
      </c>
    </row>
    <row r="94" spans="1:11">
      <c r="A94" s="14" t="str">
        <f>Employee_Data!A94</f>
        <v>EMP0093</v>
      </c>
      <c r="B94" s="15" t="str">
        <f>Employee_Data!B94</f>
        <v>Engineering</v>
      </c>
      <c r="C94" s="16">
        <f>ROUND(Employee_Data!E94*1.05,-3)</f>
        <v>706000</v>
      </c>
      <c r="D94" s="16">
        <f>Employee_Data!E94</f>
        <v>672000</v>
      </c>
      <c r="E94" s="16">
        <f t="shared" si="5"/>
        <v>-34000</v>
      </c>
      <c r="F94" s="16">
        <f>ROUND(Employee_Data!G94*0.95,-3)</f>
        <v>19000</v>
      </c>
      <c r="G94" s="16">
        <f>Employee_Data!G94</f>
        <v>20000</v>
      </c>
      <c r="H94" s="16">
        <f t="shared" si="6"/>
        <v>1000</v>
      </c>
      <c r="I94" s="17">
        <f t="shared" si="7"/>
        <v>725000</v>
      </c>
      <c r="J94" s="17">
        <f t="shared" si="8"/>
        <v>692000</v>
      </c>
      <c r="K94" s="17">
        <f t="shared" si="9"/>
        <v>-33000</v>
      </c>
    </row>
    <row r="95" spans="1:11">
      <c r="A95" s="14" t="str">
        <f>Employee_Data!A95</f>
        <v>EMP0094</v>
      </c>
      <c r="B95" s="15" t="str">
        <f>Employee_Data!B95</f>
        <v>Engineering</v>
      </c>
      <c r="C95" s="16">
        <f>ROUND(Employee_Data!E95*1.05,-3)</f>
        <v>749000</v>
      </c>
      <c r="D95" s="16">
        <f>Employee_Data!E95</f>
        <v>713000</v>
      </c>
      <c r="E95" s="16">
        <f t="shared" si="5"/>
        <v>-36000</v>
      </c>
      <c r="F95" s="16">
        <f>ROUND(Employee_Data!G95*0.95,-3)</f>
        <v>29000</v>
      </c>
      <c r="G95" s="16">
        <f>Employee_Data!G95</f>
        <v>30000</v>
      </c>
      <c r="H95" s="16">
        <f t="shared" si="6"/>
        <v>1000</v>
      </c>
      <c r="I95" s="17">
        <f t="shared" si="7"/>
        <v>778000</v>
      </c>
      <c r="J95" s="17">
        <f t="shared" si="8"/>
        <v>743000</v>
      </c>
      <c r="K95" s="17">
        <f t="shared" si="9"/>
        <v>-35000</v>
      </c>
    </row>
    <row r="96" spans="1:11">
      <c r="A96" s="14" t="str">
        <f>Employee_Data!A96</f>
        <v>EMP0095</v>
      </c>
      <c r="B96" s="15" t="str">
        <f>Employee_Data!B96</f>
        <v>Engineering</v>
      </c>
      <c r="C96" s="16">
        <f>ROUND(Employee_Data!E96*1.05,-3)</f>
        <v>880000</v>
      </c>
      <c r="D96" s="16">
        <f>Employee_Data!E96</f>
        <v>838000</v>
      </c>
      <c r="E96" s="16">
        <f t="shared" si="5"/>
        <v>-42000</v>
      </c>
      <c r="F96" s="16">
        <f>ROUND(Employee_Data!G96*0.95,-3)</f>
        <v>14000</v>
      </c>
      <c r="G96" s="16">
        <f>Employee_Data!G96</f>
        <v>15000</v>
      </c>
      <c r="H96" s="16">
        <f t="shared" si="6"/>
        <v>1000</v>
      </c>
      <c r="I96" s="17">
        <f t="shared" si="7"/>
        <v>894000</v>
      </c>
      <c r="J96" s="17">
        <f t="shared" si="8"/>
        <v>853000</v>
      </c>
      <c r="K96" s="17">
        <f t="shared" si="9"/>
        <v>-41000</v>
      </c>
    </row>
    <row r="97" spans="1:11">
      <c r="A97" s="14" t="str">
        <f>Employee_Data!A97</f>
        <v>EMP0096</v>
      </c>
      <c r="B97" s="15" t="str">
        <f>Employee_Data!B97</f>
        <v>Engineering</v>
      </c>
      <c r="C97" s="16">
        <f>ROUND(Employee_Data!E97*1.05,-3)</f>
        <v>878000</v>
      </c>
      <c r="D97" s="16">
        <f>Employee_Data!E97</f>
        <v>836000</v>
      </c>
      <c r="E97" s="16">
        <f t="shared" si="5"/>
        <v>-42000</v>
      </c>
      <c r="F97" s="16">
        <f>ROUND(Employee_Data!G97*0.95,-3)</f>
        <v>27000</v>
      </c>
      <c r="G97" s="16">
        <f>Employee_Data!G97</f>
        <v>28000</v>
      </c>
      <c r="H97" s="16">
        <f t="shared" si="6"/>
        <v>1000</v>
      </c>
      <c r="I97" s="17">
        <f t="shared" si="7"/>
        <v>905000</v>
      </c>
      <c r="J97" s="17">
        <f t="shared" si="8"/>
        <v>864000</v>
      </c>
      <c r="K97" s="17">
        <f t="shared" si="9"/>
        <v>-41000</v>
      </c>
    </row>
    <row r="98" spans="1:11">
      <c r="A98" s="14" t="str">
        <f>Employee_Data!A98</f>
        <v>EMP0097</v>
      </c>
      <c r="B98" s="15" t="str">
        <f>Employee_Data!B98</f>
        <v>Engineering</v>
      </c>
      <c r="C98" s="16">
        <f>ROUND(Employee_Data!E98*1.05,-3)</f>
        <v>1266000</v>
      </c>
      <c r="D98" s="16">
        <f>Employee_Data!E98</f>
        <v>1206000</v>
      </c>
      <c r="E98" s="16">
        <f t="shared" si="5"/>
        <v>-60000</v>
      </c>
      <c r="F98" s="16">
        <f>ROUND(Employee_Data!G98*0.95,-3)</f>
        <v>21000</v>
      </c>
      <c r="G98" s="16">
        <f>Employee_Data!G98</f>
        <v>22000</v>
      </c>
      <c r="H98" s="16">
        <f t="shared" si="6"/>
        <v>1000</v>
      </c>
      <c r="I98" s="17">
        <f t="shared" si="7"/>
        <v>1287000</v>
      </c>
      <c r="J98" s="17">
        <f t="shared" si="8"/>
        <v>1228000</v>
      </c>
      <c r="K98" s="17">
        <f t="shared" si="9"/>
        <v>-59000</v>
      </c>
    </row>
    <row r="99" spans="1:11">
      <c r="A99" s="14" t="str">
        <f>Employee_Data!A99</f>
        <v>EMP0098</v>
      </c>
      <c r="B99" s="15" t="str">
        <f>Employee_Data!B99</f>
        <v>Engineering</v>
      </c>
      <c r="C99" s="16">
        <f>ROUND(Employee_Data!E99*1.05,-3)</f>
        <v>761000</v>
      </c>
      <c r="D99" s="16">
        <f>Employee_Data!E99</f>
        <v>725000</v>
      </c>
      <c r="E99" s="16">
        <f t="shared" si="5"/>
        <v>-36000</v>
      </c>
      <c r="F99" s="16">
        <f>ROUND(Employee_Data!G99*0.95,-3)</f>
        <v>29000</v>
      </c>
      <c r="G99" s="16">
        <f>Employee_Data!G99</f>
        <v>30000</v>
      </c>
      <c r="H99" s="16">
        <f t="shared" si="6"/>
        <v>1000</v>
      </c>
      <c r="I99" s="17">
        <f t="shared" si="7"/>
        <v>790000</v>
      </c>
      <c r="J99" s="17">
        <f t="shared" si="8"/>
        <v>755000</v>
      </c>
      <c r="K99" s="17">
        <f t="shared" si="9"/>
        <v>-35000</v>
      </c>
    </row>
    <row r="100" spans="1:11">
      <c r="A100" s="14" t="str">
        <f>Employee_Data!A100</f>
        <v>EMP0099</v>
      </c>
      <c r="B100" s="15" t="str">
        <f>Employee_Data!B100</f>
        <v>Engineering</v>
      </c>
      <c r="C100" s="16">
        <f>ROUND(Employee_Data!E100*1.05,-3)</f>
        <v>984000</v>
      </c>
      <c r="D100" s="16">
        <f>Employee_Data!E100</f>
        <v>937000</v>
      </c>
      <c r="E100" s="16">
        <f t="shared" si="5"/>
        <v>-47000</v>
      </c>
      <c r="F100" s="16">
        <f>ROUND(Employee_Data!G100*0.95,-3)</f>
        <v>14000</v>
      </c>
      <c r="G100" s="16">
        <f>Employee_Data!G100</f>
        <v>15000</v>
      </c>
      <c r="H100" s="16">
        <f t="shared" si="6"/>
        <v>1000</v>
      </c>
      <c r="I100" s="17">
        <f t="shared" si="7"/>
        <v>998000</v>
      </c>
      <c r="J100" s="17">
        <f t="shared" si="8"/>
        <v>952000</v>
      </c>
      <c r="K100" s="17">
        <f t="shared" si="9"/>
        <v>-46000</v>
      </c>
    </row>
    <row r="101" spans="1:11">
      <c r="A101" s="14" t="str">
        <f>Employee_Data!A101</f>
        <v>EMP0100</v>
      </c>
      <c r="B101" s="15" t="str">
        <f>Employee_Data!B101</f>
        <v>Engineering</v>
      </c>
      <c r="C101" s="16">
        <f>ROUND(Employee_Data!E101*1.05,-3)</f>
        <v>988000</v>
      </c>
      <c r="D101" s="16">
        <f>Employee_Data!E101</f>
        <v>941000</v>
      </c>
      <c r="E101" s="16">
        <f t="shared" si="5"/>
        <v>-47000</v>
      </c>
      <c r="F101" s="16">
        <f>ROUND(Employee_Data!G101*0.95,-3)</f>
        <v>29000</v>
      </c>
      <c r="G101" s="16">
        <f>Employee_Data!G101</f>
        <v>30000</v>
      </c>
      <c r="H101" s="16">
        <f t="shared" si="6"/>
        <v>1000</v>
      </c>
      <c r="I101" s="17">
        <f t="shared" si="7"/>
        <v>1017000</v>
      </c>
      <c r="J101" s="17">
        <f t="shared" si="8"/>
        <v>971000</v>
      </c>
      <c r="K101" s="17">
        <f t="shared" si="9"/>
        <v>-46000</v>
      </c>
    </row>
    <row r="102" spans="1:11">
      <c r="A102" s="14" t="str">
        <f>Employee_Data!A102</f>
        <v>EMP0101</v>
      </c>
      <c r="B102" s="15" t="str">
        <f>Employee_Data!B102</f>
        <v>Engineering</v>
      </c>
      <c r="C102" s="16">
        <f>ROUND(Employee_Data!E102*1.05,-3)</f>
        <v>1052000</v>
      </c>
      <c r="D102" s="16">
        <f>Employee_Data!E102</f>
        <v>1002000</v>
      </c>
      <c r="E102" s="16">
        <f t="shared" si="5"/>
        <v>-50000</v>
      </c>
      <c r="F102" s="16">
        <f>ROUND(Employee_Data!G102*0.95,-3)</f>
        <v>21000</v>
      </c>
      <c r="G102" s="16">
        <f>Employee_Data!G102</f>
        <v>22000</v>
      </c>
      <c r="H102" s="16">
        <f t="shared" si="6"/>
        <v>1000</v>
      </c>
      <c r="I102" s="17">
        <f t="shared" si="7"/>
        <v>1073000</v>
      </c>
      <c r="J102" s="17">
        <f t="shared" si="8"/>
        <v>1024000</v>
      </c>
      <c r="K102" s="17">
        <f t="shared" si="9"/>
        <v>-49000</v>
      </c>
    </row>
    <row r="103" spans="1:11">
      <c r="A103" s="14" t="str">
        <f>Employee_Data!A103</f>
        <v>EMP0102</v>
      </c>
      <c r="B103" s="15" t="str">
        <f>Employee_Data!B103</f>
        <v>Engineering</v>
      </c>
      <c r="C103" s="16">
        <f>ROUND(Employee_Data!E103*1.05,-3)</f>
        <v>1263000</v>
      </c>
      <c r="D103" s="16">
        <f>Employee_Data!E103</f>
        <v>1203000</v>
      </c>
      <c r="E103" s="16">
        <f t="shared" si="5"/>
        <v>-60000</v>
      </c>
      <c r="F103" s="16">
        <f>ROUND(Employee_Data!G103*0.95,-3)</f>
        <v>29000</v>
      </c>
      <c r="G103" s="16">
        <f>Employee_Data!G103</f>
        <v>30000</v>
      </c>
      <c r="H103" s="16">
        <f t="shared" si="6"/>
        <v>1000</v>
      </c>
      <c r="I103" s="17">
        <f t="shared" si="7"/>
        <v>1292000</v>
      </c>
      <c r="J103" s="17">
        <f t="shared" si="8"/>
        <v>1233000</v>
      </c>
      <c r="K103" s="17">
        <f t="shared" si="9"/>
        <v>-59000</v>
      </c>
    </row>
    <row r="104" spans="1:11">
      <c r="A104" s="14" t="str">
        <f>Employee_Data!A104</f>
        <v>EMP0103</v>
      </c>
      <c r="B104" s="15" t="str">
        <f>Employee_Data!B104</f>
        <v>Engineering</v>
      </c>
      <c r="C104" s="16">
        <f>ROUND(Employee_Data!E104*1.05,-3)</f>
        <v>684000</v>
      </c>
      <c r="D104" s="16">
        <f>Employee_Data!E104</f>
        <v>651000</v>
      </c>
      <c r="E104" s="16">
        <f t="shared" si="5"/>
        <v>-33000</v>
      </c>
      <c r="F104" s="16">
        <f>ROUND(Employee_Data!G104*0.95,-3)</f>
        <v>27000</v>
      </c>
      <c r="G104" s="16">
        <f>Employee_Data!G104</f>
        <v>28000</v>
      </c>
      <c r="H104" s="16">
        <f t="shared" si="6"/>
        <v>1000</v>
      </c>
      <c r="I104" s="17">
        <f t="shared" si="7"/>
        <v>711000</v>
      </c>
      <c r="J104" s="17">
        <f t="shared" si="8"/>
        <v>679000</v>
      </c>
      <c r="K104" s="17">
        <f t="shared" si="9"/>
        <v>-32000</v>
      </c>
    </row>
    <row r="105" spans="1:11">
      <c r="A105" s="14" t="str">
        <f>Employee_Data!A105</f>
        <v>EMP0104</v>
      </c>
      <c r="B105" s="15" t="str">
        <f>Employee_Data!B105</f>
        <v>Engineering</v>
      </c>
      <c r="C105" s="16">
        <f>ROUND(Employee_Data!E105*1.05,-3)</f>
        <v>840000</v>
      </c>
      <c r="D105" s="16">
        <f>Employee_Data!E105</f>
        <v>800000</v>
      </c>
      <c r="E105" s="16">
        <f t="shared" si="5"/>
        <v>-40000</v>
      </c>
      <c r="F105" s="16">
        <f>ROUND(Employee_Data!G105*0.95,-3)</f>
        <v>14000</v>
      </c>
      <c r="G105" s="16">
        <f>Employee_Data!G105</f>
        <v>15000</v>
      </c>
      <c r="H105" s="16">
        <f t="shared" si="6"/>
        <v>1000</v>
      </c>
      <c r="I105" s="17">
        <f t="shared" si="7"/>
        <v>854000</v>
      </c>
      <c r="J105" s="17">
        <f t="shared" si="8"/>
        <v>815000</v>
      </c>
      <c r="K105" s="17">
        <f t="shared" si="9"/>
        <v>-39000</v>
      </c>
    </row>
    <row r="106" spans="1:11">
      <c r="A106" s="14" t="str">
        <f>Employee_Data!A106</f>
        <v>EMP0105</v>
      </c>
      <c r="B106" s="15" t="str">
        <f>Employee_Data!B106</f>
        <v>Engineering</v>
      </c>
      <c r="C106" s="16">
        <f>ROUND(Employee_Data!E106*1.05,-3)</f>
        <v>684000</v>
      </c>
      <c r="D106" s="16">
        <f>Employee_Data!E106</f>
        <v>651000</v>
      </c>
      <c r="E106" s="16">
        <f t="shared" si="5"/>
        <v>-33000</v>
      </c>
      <c r="F106" s="16">
        <f>ROUND(Employee_Data!G106*0.95,-3)</f>
        <v>19000</v>
      </c>
      <c r="G106" s="16">
        <f>Employee_Data!G106</f>
        <v>20000</v>
      </c>
      <c r="H106" s="16">
        <f t="shared" si="6"/>
        <v>1000</v>
      </c>
      <c r="I106" s="17">
        <f t="shared" si="7"/>
        <v>703000</v>
      </c>
      <c r="J106" s="17">
        <f t="shared" si="8"/>
        <v>671000</v>
      </c>
      <c r="K106" s="17">
        <f t="shared" si="9"/>
        <v>-32000</v>
      </c>
    </row>
    <row r="107" spans="1:11">
      <c r="A107" s="14" t="str">
        <f>Employee_Data!A107</f>
        <v>EMP0106</v>
      </c>
      <c r="B107" s="15" t="str">
        <f>Employee_Data!B107</f>
        <v>Engineering</v>
      </c>
      <c r="C107" s="16">
        <f>ROUND(Employee_Data!E107*1.05,-3)</f>
        <v>838000</v>
      </c>
      <c r="D107" s="16">
        <f>Employee_Data!E107</f>
        <v>798000</v>
      </c>
      <c r="E107" s="16">
        <f t="shared" si="5"/>
        <v>-40000</v>
      </c>
      <c r="F107" s="16">
        <f>ROUND(Employee_Data!G107*0.95,-3)</f>
        <v>24000</v>
      </c>
      <c r="G107" s="16">
        <f>Employee_Data!G107</f>
        <v>25000</v>
      </c>
      <c r="H107" s="16">
        <f t="shared" si="6"/>
        <v>1000</v>
      </c>
      <c r="I107" s="17">
        <f t="shared" si="7"/>
        <v>862000</v>
      </c>
      <c r="J107" s="17">
        <f t="shared" si="8"/>
        <v>823000</v>
      </c>
      <c r="K107" s="17">
        <f t="shared" si="9"/>
        <v>-39000</v>
      </c>
    </row>
    <row r="108" spans="1:11">
      <c r="A108" s="14" t="str">
        <f>Employee_Data!A108</f>
        <v>EMP0107</v>
      </c>
      <c r="B108" s="15" t="str">
        <f>Employee_Data!B108</f>
        <v>Engineering</v>
      </c>
      <c r="C108" s="16">
        <f>ROUND(Employee_Data!E108*1.05,-3)</f>
        <v>781000</v>
      </c>
      <c r="D108" s="16">
        <f>Employee_Data!E108</f>
        <v>744000</v>
      </c>
      <c r="E108" s="16">
        <f t="shared" si="5"/>
        <v>-37000</v>
      </c>
      <c r="F108" s="16">
        <f>ROUND(Employee_Data!G108*0.95,-3)</f>
        <v>17000</v>
      </c>
      <c r="G108" s="16">
        <f>Employee_Data!G108</f>
        <v>18000</v>
      </c>
      <c r="H108" s="16">
        <f t="shared" si="6"/>
        <v>1000</v>
      </c>
      <c r="I108" s="17">
        <f t="shared" si="7"/>
        <v>798000</v>
      </c>
      <c r="J108" s="17">
        <f t="shared" si="8"/>
        <v>762000</v>
      </c>
      <c r="K108" s="17">
        <f t="shared" si="9"/>
        <v>-36000</v>
      </c>
    </row>
    <row r="109" spans="1:11">
      <c r="A109" s="14" t="str">
        <f>Employee_Data!A109</f>
        <v>EMP0108</v>
      </c>
      <c r="B109" s="15" t="str">
        <f>Employee_Data!B109</f>
        <v>Engineering</v>
      </c>
      <c r="C109" s="16">
        <f>ROUND(Employee_Data!E109*1.05,-3)</f>
        <v>732000</v>
      </c>
      <c r="D109" s="16">
        <f>Employee_Data!E109</f>
        <v>697000</v>
      </c>
      <c r="E109" s="16">
        <f t="shared" si="5"/>
        <v>-35000</v>
      </c>
      <c r="F109" s="16">
        <f>ROUND(Employee_Data!G109*0.95,-3)</f>
        <v>24000</v>
      </c>
      <c r="G109" s="16">
        <f>Employee_Data!G109</f>
        <v>25000</v>
      </c>
      <c r="H109" s="16">
        <f t="shared" si="6"/>
        <v>1000</v>
      </c>
      <c r="I109" s="17">
        <f t="shared" si="7"/>
        <v>756000</v>
      </c>
      <c r="J109" s="17">
        <f t="shared" si="8"/>
        <v>722000</v>
      </c>
      <c r="K109" s="17">
        <f t="shared" si="9"/>
        <v>-34000</v>
      </c>
    </row>
    <row r="110" spans="1:11">
      <c r="A110" s="14" t="str">
        <f>Employee_Data!A110</f>
        <v>EMP0109</v>
      </c>
      <c r="B110" s="15" t="str">
        <f>Employee_Data!B110</f>
        <v>Engineering</v>
      </c>
      <c r="C110" s="16">
        <f>ROUND(Employee_Data!E110*1.05,-3)</f>
        <v>671000</v>
      </c>
      <c r="D110" s="16">
        <f>Employee_Data!E110</f>
        <v>639000</v>
      </c>
      <c r="E110" s="16">
        <f t="shared" si="5"/>
        <v>-32000</v>
      </c>
      <c r="F110" s="16">
        <f>ROUND(Employee_Data!G110*0.95,-3)</f>
        <v>21000</v>
      </c>
      <c r="G110" s="16">
        <f>Employee_Data!G110</f>
        <v>22000</v>
      </c>
      <c r="H110" s="16">
        <f t="shared" si="6"/>
        <v>1000</v>
      </c>
      <c r="I110" s="17">
        <f t="shared" si="7"/>
        <v>692000</v>
      </c>
      <c r="J110" s="17">
        <f t="shared" si="8"/>
        <v>661000</v>
      </c>
      <c r="K110" s="17">
        <f t="shared" si="9"/>
        <v>-31000</v>
      </c>
    </row>
    <row r="111" spans="1:11">
      <c r="A111" s="14" t="str">
        <f>Employee_Data!A111</f>
        <v>EMP0110</v>
      </c>
      <c r="B111" s="15" t="str">
        <f>Employee_Data!B111</f>
        <v>Engineering</v>
      </c>
      <c r="C111" s="16">
        <f>ROUND(Employee_Data!E111*1.05,-3)</f>
        <v>981000</v>
      </c>
      <c r="D111" s="16">
        <f>Employee_Data!E111</f>
        <v>934000</v>
      </c>
      <c r="E111" s="16">
        <f t="shared" si="5"/>
        <v>-47000</v>
      </c>
      <c r="F111" s="16">
        <f>ROUND(Employee_Data!G111*0.95,-3)</f>
        <v>24000</v>
      </c>
      <c r="G111" s="16">
        <f>Employee_Data!G111</f>
        <v>25000</v>
      </c>
      <c r="H111" s="16">
        <f t="shared" si="6"/>
        <v>1000</v>
      </c>
      <c r="I111" s="17">
        <f t="shared" si="7"/>
        <v>1005000</v>
      </c>
      <c r="J111" s="17">
        <f t="shared" si="8"/>
        <v>959000</v>
      </c>
      <c r="K111" s="17">
        <f t="shared" si="9"/>
        <v>-46000</v>
      </c>
    </row>
    <row r="112" spans="1:11">
      <c r="A112" s="14" t="str">
        <f>Employee_Data!A112</f>
        <v>EMP0111</v>
      </c>
      <c r="B112" s="15" t="str">
        <f>Employee_Data!B112</f>
        <v>Engineering</v>
      </c>
      <c r="C112" s="16">
        <f>ROUND(Employee_Data!E112*1.05,-3)</f>
        <v>876000</v>
      </c>
      <c r="D112" s="16">
        <f>Employee_Data!E112</f>
        <v>834000</v>
      </c>
      <c r="E112" s="16">
        <f t="shared" si="5"/>
        <v>-42000</v>
      </c>
      <c r="F112" s="16">
        <f>ROUND(Employee_Data!G112*0.95,-3)</f>
        <v>14000</v>
      </c>
      <c r="G112" s="16">
        <f>Employee_Data!G112</f>
        <v>15000</v>
      </c>
      <c r="H112" s="16">
        <f t="shared" si="6"/>
        <v>1000</v>
      </c>
      <c r="I112" s="17">
        <f t="shared" si="7"/>
        <v>890000</v>
      </c>
      <c r="J112" s="17">
        <f t="shared" si="8"/>
        <v>849000</v>
      </c>
      <c r="K112" s="17">
        <f t="shared" si="9"/>
        <v>-41000</v>
      </c>
    </row>
    <row r="113" spans="1:11">
      <c r="A113" s="14" t="str">
        <f>Employee_Data!A113</f>
        <v>EMP0112</v>
      </c>
      <c r="B113" s="15" t="str">
        <f>Employee_Data!B113</f>
        <v>Engineering</v>
      </c>
      <c r="C113" s="16">
        <f>ROUND(Employee_Data!E113*1.05,-3)</f>
        <v>1134000</v>
      </c>
      <c r="D113" s="16">
        <f>Employee_Data!E113</f>
        <v>1080000</v>
      </c>
      <c r="E113" s="16">
        <f t="shared" si="5"/>
        <v>-54000</v>
      </c>
      <c r="F113" s="16">
        <f>ROUND(Employee_Data!G113*0.95,-3)</f>
        <v>27000</v>
      </c>
      <c r="G113" s="16">
        <f>Employee_Data!G113</f>
        <v>28000</v>
      </c>
      <c r="H113" s="16">
        <f t="shared" si="6"/>
        <v>1000</v>
      </c>
      <c r="I113" s="17">
        <f t="shared" si="7"/>
        <v>1161000</v>
      </c>
      <c r="J113" s="17">
        <f t="shared" si="8"/>
        <v>1108000</v>
      </c>
      <c r="K113" s="17">
        <f t="shared" si="9"/>
        <v>-53000</v>
      </c>
    </row>
    <row r="114" spans="1:11">
      <c r="A114" s="14" t="str">
        <f>Employee_Data!A114</f>
        <v>EMP0113</v>
      </c>
      <c r="B114" s="15" t="str">
        <f>Employee_Data!B114</f>
        <v>Engineering</v>
      </c>
      <c r="C114" s="16">
        <f>ROUND(Employee_Data!E114*1.05,-3)</f>
        <v>1164000</v>
      </c>
      <c r="D114" s="16">
        <f>Employee_Data!E114</f>
        <v>1109000</v>
      </c>
      <c r="E114" s="16">
        <f t="shared" si="5"/>
        <v>-55000</v>
      </c>
      <c r="F114" s="16">
        <f>ROUND(Employee_Data!G114*0.95,-3)</f>
        <v>27000</v>
      </c>
      <c r="G114" s="16">
        <f>Employee_Data!G114</f>
        <v>28000</v>
      </c>
      <c r="H114" s="16">
        <f t="shared" si="6"/>
        <v>1000</v>
      </c>
      <c r="I114" s="17">
        <f t="shared" si="7"/>
        <v>1191000</v>
      </c>
      <c r="J114" s="17">
        <f t="shared" si="8"/>
        <v>1137000</v>
      </c>
      <c r="K114" s="17">
        <f t="shared" si="9"/>
        <v>-54000</v>
      </c>
    </row>
    <row r="115" spans="1:11">
      <c r="A115" s="14" t="str">
        <f>Employee_Data!A115</f>
        <v>EMP0114</v>
      </c>
      <c r="B115" s="15" t="str">
        <f>Employee_Data!B115</f>
        <v>Engineering</v>
      </c>
      <c r="C115" s="16">
        <f>ROUND(Employee_Data!E115*1.05,-3)</f>
        <v>942000</v>
      </c>
      <c r="D115" s="16">
        <f>Employee_Data!E115</f>
        <v>897000</v>
      </c>
      <c r="E115" s="16">
        <f t="shared" si="5"/>
        <v>-45000</v>
      </c>
      <c r="F115" s="16">
        <f>ROUND(Employee_Data!G115*0.95,-3)</f>
        <v>24000</v>
      </c>
      <c r="G115" s="16">
        <f>Employee_Data!G115</f>
        <v>25000</v>
      </c>
      <c r="H115" s="16">
        <f t="shared" si="6"/>
        <v>1000</v>
      </c>
      <c r="I115" s="17">
        <f t="shared" si="7"/>
        <v>966000</v>
      </c>
      <c r="J115" s="17">
        <f t="shared" si="8"/>
        <v>922000</v>
      </c>
      <c r="K115" s="17">
        <f t="shared" si="9"/>
        <v>-44000</v>
      </c>
    </row>
    <row r="116" spans="1:11">
      <c r="A116" s="14" t="str">
        <f>Employee_Data!A116</f>
        <v>EMP0115</v>
      </c>
      <c r="B116" s="15" t="str">
        <f>Employee_Data!B116</f>
        <v>Engineering</v>
      </c>
      <c r="C116" s="16">
        <f>ROUND(Employee_Data!E116*1.05,-3)</f>
        <v>731000</v>
      </c>
      <c r="D116" s="16">
        <f>Employee_Data!E116</f>
        <v>696000</v>
      </c>
      <c r="E116" s="16">
        <f t="shared" si="5"/>
        <v>-35000</v>
      </c>
      <c r="F116" s="16">
        <f>ROUND(Employee_Data!G116*0.95,-3)</f>
        <v>24000</v>
      </c>
      <c r="G116" s="16">
        <f>Employee_Data!G116</f>
        <v>25000</v>
      </c>
      <c r="H116" s="16">
        <f t="shared" si="6"/>
        <v>1000</v>
      </c>
      <c r="I116" s="17">
        <f t="shared" si="7"/>
        <v>755000</v>
      </c>
      <c r="J116" s="17">
        <f t="shared" si="8"/>
        <v>721000</v>
      </c>
      <c r="K116" s="17">
        <f t="shared" si="9"/>
        <v>-34000</v>
      </c>
    </row>
    <row r="117" spans="1:11">
      <c r="A117" s="14" t="str">
        <f>Employee_Data!A117</f>
        <v>EMP0116</v>
      </c>
      <c r="B117" s="15" t="str">
        <f>Employee_Data!B117</f>
        <v>Engineering</v>
      </c>
      <c r="C117" s="16">
        <f>ROUND(Employee_Data!E117*1.05,-3)</f>
        <v>836000</v>
      </c>
      <c r="D117" s="16">
        <f>Employee_Data!E117</f>
        <v>796000</v>
      </c>
      <c r="E117" s="16">
        <f t="shared" si="5"/>
        <v>-40000</v>
      </c>
      <c r="F117" s="16">
        <f>ROUND(Employee_Data!G117*0.95,-3)</f>
        <v>33000</v>
      </c>
      <c r="G117" s="16">
        <f>Employee_Data!G117</f>
        <v>35000</v>
      </c>
      <c r="H117" s="16">
        <f t="shared" si="6"/>
        <v>2000</v>
      </c>
      <c r="I117" s="17">
        <f t="shared" si="7"/>
        <v>869000</v>
      </c>
      <c r="J117" s="17">
        <f t="shared" si="8"/>
        <v>831000</v>
      </c>
      <c r="K117" s="17">
        <f t="shared" si="9"/>
        <v>-38000</v>
      </c>
    </row>
    <row r="118" spans="1:11">
      <c r="A118" s="14" t="str">
        <f>Employee_Data!A118</f>
        <v>EMP0117</v>
      </c>
      <c r="B118" s="15" t="str">
        <f>Employee_Data!B118</f>
        <v>Engineering</v>
      </c>
      <c r="C118" s="16">
        <f>ROUND(Employee_Data!E118*1.05,-3)</f>
        <v>1195000</v>
      </c>
      <c r="D118" s="16">
        <f>Employee_Data!E118</f>
        <v>1138000</v>
      </c>
      <c r="E118" s="16">
        <f t="shared" si="5"/>
        <v>-57000</v>
      </c>
      <c r="F118" s="16">
        <f>ROUND(Employee_Data!G118*0.95,-3)</f>
        <v>14000</v>
      </c>
      <c r="G118" s="16">
        <f>Employee_Data!G118</f>
        <v>15000</v>
      </c>
      <c r="H118" s="16">
        <f t="shared" si="6"/>
        <v>1000</v>
      </c>
      <c r="I118" s="17">
        <f t="shared" si="7"/>
        <v>1209000</v>
      </c>
      <c r="J118" s="17">
        <f t="shared" si="8"/>
        <v>1153000</v>
      </c>
      <c r="K118" s="17">
        <f t="shared" si="9"/>
        <v>-56000</v>
      </c>
    </row>
    <row r="119" spans="1:11">
      <c r="A119" s="14" t="str">
        <f>Employee_Data!A119</f>
        <v>EMP0118</v>
      </c>
      <c r="B119" s="15" t="str">
        <f>Employee_Data!B119</f>
        <v>Engineering</v>
      </c>
      <c r="C119" s="16">
        <f>ROUND(Employee_Data!E119*1.05,-3)</f>
        <v>1163000</v>
      </c>
      <c r="D119" s="16">
        <f>Employee_Data!E119</f>
        <v>1108000</v>
      </c>
      <c r="E119" s="16">
        <f t="shared" si="5"/>
        <v>-55000</v>
      </c>
      <c r="F119" s="16">
        <f>ROUND(Employee_Data!G119*0.95,-3)</f>
        <v>24000</v>
      </c>
      <c r="G119" s="16">
        <f>Employee_Data!G119</f>
        <v>25000</v>
      </c>
      <c r="H119" s="16">
        <f t="shared" si="6"/>
        <v>1000</v>
      </c>
      <c r="I119" s="17">
        <f t="shared" si="7"/>
        <v>1187000</v>
      </c>
      <c r="J119" s="17">
        <f t="shared" si="8"/>
        <v>1133000</v>
      </c>
      <c r="K119" s="17">
        <f t="shared" si="9"/>
        <v>-54000</v>
      </c>
    </row>
    <row r="120" spans="1:11">
      <c r="A120" s="14" t="str">
        <f>Employee_Data!A120</f>
        <v>EMP0119</v>
      </c>
      <c r="B120" s="15" t="str">
        <f>Employee_Data!B120</f>
        <v>Engineering</v>
      </c>
      <c r="C120" s="16">
        <f>ROUND(Employee_Data!E120*1.05,-3)</f>
        <v>719000</v>
      </c>
      <c r="D120" s="16">
        <f>Employee_Data!E120</f>
        <v>685000</v>
      </c>
      <c r="E120" s="16">
        <f t="shared" si="5"/>
        <v>-34000</v>
      </c>
      <c r="F120" s="16">
        <f>ROUND(Employee_Data!G120*0.95,-3)</f>
        <v>14000</v>
      </c>
      <c r="G120" s="16">
        <f>Employee_Data!G120</f>
        <v>15000</v>
      </c>
      <c r="H120" s="16">
        <f t="shared" si="6"/>
        <v>1000</v>
      </c>
      <c r="I120" s="17">
        <f t="shared" si="7"/>
        <v>733000</v>
      </c>
      <c r="J120" s="17">
        <f t="shared" si="8"/>
        <v>700000</v>
      </c>
      <c r="K120" s="17">
        <f t="shared" si="9"/>
        <v>-33000</v>
      </c>
    </row>
    <row r="121" spans="1:11">
      <c r="A121" s="14" t="str">
        <f>Employee_Data!A121</f>
        <v>EMP0120</v>
      </c>
      <c r="B121" s="15" t="str">
        <f>Employee_Data!B121</f>
        <v>Engineering</v>
      </c>
      <c r="C121" s="16">
        <f>ROUND(Employee_Data!E121*1.05,-3)</f>
        <v>720000</v>
      </c>
      <c r="D121" s="16">
        <f>Employee_Data!E121</f>
        <v>686000</v>
      </c>
      <c r="E121" s="16">
        <f t="shared" si="5"/>
        <v>-34000</v>
      </c>
      <c r="F121" s="16">
        <f>ROUND(Employee_Data!G121*0.95,-3)</f>
        <v>21000</v>
      </c>
      <c r="G121" s="16">
        <f>Employee_Data!G121</f>
        <v>22000</v>
      </c>
      <c r="H121" s="16">
        <f t="shared" si="6"/>
        <v>1000</v>
      </c>
      <c r="I121" s="17">
        <f t="shared" si="7"/>
        <v>741000</v>
      </c>
      <c r="J121" s="17">
        <f t="shared" si="8"/>
        <v>708000</v>
      </c>
      <c r="K121" s="17">
        <f t="shared" si="9"/>
        <v>-33000</v>
      </c>
    </row>
    <row r="122" spans="1:11">
      <c r="A122" s="14" t="str">
        <f>Employee_Data!A122</f>
        <v>EMP0121</v>
      </c>
      <c r="B122" s="15" t="str">
        <f>Employee_Data!B122</f>
        <v>Engineering</v>
      </c>
      <c r="C122" s="16">
        <f>ROUND(Employee_Data!E122*1.05,-3)</f>
        <v>952000</v>
      </c>
      <c r="D122" s="16">
        <f>Employee_Data!E122</f>
        <v>907000</v>
      </c>
      <c r="E122" s="16">
        <f t="shared" si="5"/>
        <v>-45000</v>
      </c>
      <c r="F122" s="16">
        <f>ROUND(Employee_Data!G122*0.95,-3)</f>
        <v>17000</v>
      </c>
      <c r="G122" s="16">
        <f>Employee_Data!G122</f>
        <v>18000</v>
      </c>
      <c r="H122" s="16">
        <f t="shared" si="6"/>
        <v>1000</v>
      </c>
      <c r="I122" s="17">
        <f t="shared" si="7"/>
        <v>969000</v>
      </c>
      <c r="J122" s="17">
        <f t="shared" si="8"/>
        <v>925000</v>
      </c>
      <c r="K122" s="17">
        <f t="shared" si="9"/>
        <v>-44000</v>
      </c>
    </row>
    <row r="123" spans="1:11">
      <c r="A123" s="14" t="str">
        <f>Employee_Data!A123</f>
        <v>EMP0122</v>
      </c>
      <c r="B123" s="15" t="str">
        <f>Employee_Data!B123</f>
        <v>Engineering</v>
      </c>
      <c r="C123" s="16">
        <f>ROUND(Employee_Data!E123*1.05,-3)</f>
        <v>1101000</v>
      </c>
      <c r="D123" s="16">
        <f>Employee_Data!E123</f>
        <v>1049000</v>
      </c>
      <c r="E123" s="16">
        <f t="shared" si="5"/>
        <v>-52000</v>
      </c>
      <c r="F123" s="16">
        <f>ROUND(Employee_Data!G123*0.95,-3)</f>
        <v>27000</v>
      </c>
      <c r="G123" s="16">
        <f>Employee_Data!G123</f>
        <v>28000</v>
      </c>
      <c r="H123" s="16">
        <f t="shared" si="6"/>
        <v>1000</v>
      </c>
      <c r="I123" s="17">
        <f t="shared" si="7"/>
        <v>1128000</v>
      </c>
      <c r="J123" s="17">
        <f t="shared" si="8"/>
        <v>1077000</v>
      </c>
      <c r="K123" s="17">
        <f t="shared" si="9"/>
        <v>-51000</v>
      </c>
    </row>
    <row r="124" spans="1:11">
      <c r="A124" s="14" t="str">
        <f>Employee_Data!A124</f>
        <v>EMP0123</v>
      </c>
      <c r="B124" s="15" t="str">
        <f>Employee_Data!B124</f>
        <v>Engineering</v>
      </c>
      <c r="C124" s="16">
        <f>ROUND(Employee_Data!E124*1.05,-3)</f>
        <v>1148000</v>
      </c>
      <c r="D124" s="16">
        <f>Employee_Data!E124</f>
        <v>1093000</v>
      </c>
      <c r="E124" s="16">
        <f t="shared" si="5"/>
        <v>-55000</v>
      </c>
      <c r="F124" s="16">
        <f>ROUND(Employee_Data!G124*0.95,-3)</f>
        <v>27000</v>
      </c>
      <c r="G124" s="16">
        <f>Employee_Data!G124</f>
        <v>28000</v>
      </c>
      <c r="H124" s="16">
        <f t="shared" si="6"/>
        <v>1000</v>
      </c>
      <c r="I124" s="17">
        <f t="shared" si="7"/>
        <v>1175000</v>
      </c>
      <c r="J124" s="17">
        <f t="shared" si="8"/>
        <v>1121000</v>
      </c>
      <c r="K124" s="17">
        <f t="shared" si="9"/>
        <v>-54000</v>
      </c>
    </row>
    <row r="125" spans="1:11">
      <c r="A125" s="14" t="str">
        <f>Employee_Data!A125</f>
        <v>EMP0124</v>
      </c>
      <c r="B125" s="15" t="str">
        <f>Employee_Data!B125</f>
        <v>Engineering</v>
      </c>
      <c r="C125" s="16">
        <f>ROUND(Employee_Data!E125*1.05,-3)</f>
        <v>1117000</v>
      </c>
      <c r="D125" s="16">
        <f>Employee_Data!E125</f>
        <v>1064000</v>
      </c>
      <c r="E125" s="16">
        <f t="shared" si="5"/>
        <v>-53000</v>
      </c>
      <c r="F125" s="16">
        <f>ROUND(Employee_Data!G125*0.95,-3)</f>
        <v>21000</v>
      </c>
      <c r="G125" s="16">
        <f>Employee_Data!G125</f>
        <v>22000</v>
      </c>
      <c r="H125" s="16">
        <f t="shared" si="6"/>
        <v>1000</v>
      </c>
      <c r="I125" s="17">
        <f t="shared" si="7"/>
        <v>1138000</v>
      </c>
      <c r="J125" s="17">
        <f t="shared" si="8"/>
        <v>1086000</v>
      </c>
      <c r="K125" s="17">
        <f t="shared" si="9"/>
        <v>-52000</v>
      </c>
    </row>
    <row r="126" spans="1:11">
      <c r="A126" s="14" t="str">
        <f>Employee_Data!A126</f>
        <v>EMP0125</v>
      </c>
      <c r="B126" s="15" t="str">
        <f>Employee_Data!B126</f>
        <v>Engineering</v>
      </c>
      <c r="C126" s="16">
        <f>ROUND(Employee_Data!E126*1.05,-3)</f>
        <v>990000</v>
      </c>
      <c r="D126" s="16">
        <f>Employee_Data!E126</f>
        <v>943000</v>
      </c>
      <c r="E126" s="16">
        <f t="shared" si="5"/>
        <v>-47000</v>
      </c>
      <c r="F126" s="16">
        <f>ROUND(Employee_Data!G126*0.95,-3)</f>
        <v>21000</v>
      </c>
      <c r="G126" s="16">
        <f>Employee_Data!G126</f>
        <v>22000</v>
      </c>
      <c r="H126" s="16">
        <f t="shared" si="6"/>
        <v>1000</v>
      </c>
      <c r="I126" s="17">
        <f t="shared" si="7"/>
        <v>1011000</v>
      </c>
      <c r="J126" s="17">
        <f t="shared" si="8"/>
        <v>965000</v>
      </c>
      <c r="K126" s="17">
        <f t="shared" si="9"/>
        <v>-46000</v>
      </c>
    </row>
    <row r="127" spans="1:11">
      <c r="A127" s="14" t="str">
        <f>Employee_Data!A127</f>
        <v>EMP0126</v>
      </c>
      <c r="B127" s="15" t="str">
        <f>Employee_Data!B127</f>
        <v>Engineering</v>
      </c>
      <c r="C127" s="16">
        <f>ROUND(Employee_Data!E127*1.05,-3)</f>
        <v>1223000</v>
      </c>
      <c r="D127" s="16">
        <f>Employee_Data!E127</f>
        <v>1165000</v>
      </c>
      <c r="E127" s="16">
        <f t="shared" si="5"/>
        <v>-58000</v>
      </c>
      <c r="F127" s="16">
        <f>ROUND(Employee_Data!G127*0.95,-3)</f>
        <v>24000</v>
      </c>
      <c r="G127" s="16">
        <f>Employee_Data!G127</f>
        <v>25000</v>
      </c>
      <c r="H127" s="16">
        <f t="shared" si="6"/>
        <v>1000</v>
      </c>
      <c r="I127" s="17">
        <f t="shared" si="7"/>
        <v>1247000</v>
      </c>
      <c r="J127" s="17">
        <f t="shared" si="8"/>
        <v>1190000</v>
      </c>
      <c r="K127" s="17">
        <f t="shared" si="9"/>
        <v>-57000</v>
      </c>
    </row>
    <row r="128" spans="1:11">
      <c r="A128" s="14" t="str">
        <f>Employee_Data!A128</f>
        <v>EMP0127</v>
      </c>
      <c r="B128" s="15" t="str">
        <f>Employee_Data!B128</f>
        <v>Engineering</v>
      </c>
      <c r="C128" s="16">
        <f>ROUND(Employee_Data!E128*1.05,-3)</f>
        <v>861000</v>
      </c>
      <c r="D128" s="16">
        <f>Employee_Data!E128</f>
        <v>820000</v>
      </c>
      <c r="E128" s="16">
        <f t="shared" si="5"/>
        <v>-41000</v>
      </c>
      <c r="F128" s="16">
        <f>ROUND(Employee_Data!G128*0.95,-3)</f>
        <v>24000</v>
      </c>
      <c r="G128" s="16">
        <f>Employee_Data!G128</f>
        <v>25000</v>
      </c>
      <c r="H128" s="16">
        <f t="shared" si="6"/>
        <v>1000</v>
      </c>
      <c r="I128" s="17">
        <f t="shared" si="7"/>
        <v>885000</v>
      </c>
      <c r="J128" s="17">
        <f t="shared" si="8"/>
        <v>845000</v>
      </c>
      <c r="K128" s="17">
        <f t="shared" si="9"/>
        <v>-40000</v>
      </c>
    </row>
    <row r="129" spans="1:11">
      <c r="A129" s="14" t="str">
        <f>Employee_Data!A129</f>
        <v>EMP0128</v>
      </c>
      <c r="B129" s="15" t="str">
        <f>Employee_Data!B129</f>
        <v>Engineering</v>
      </c>
      <c r="C129" s="16">
        <f>ROUND(Employee_Data!E129*1.05,-3)</f>
        <v>1109000</v>
      </c>
      <c r="D129" s="16">
        <f>Employee_Data!E129</f>
        <v>1056000</v>
      </c>
      <c r="E129" s="16">
        <f t="shared" si="5"/>
        <v>-53000</v>
      </c>
      <c r="F129" s="16">
        <f>ROUND(Employee_Data!G129*0.95,-3)</f>
        <v>24000</v>
      </c>
      <c r="G129" s="16">
        <f>Employee_Data!G129</f>
        <v>25000</v>
      </c>
      <c r="H129" s="16">
        <f t="shared" si="6"/>
        <v>1000</v>
      </c>
      <c r="I129" s="17">
        <f t="shared" si="7"/>
        <v>1133000</v>
      </c>
      <c r="J129" s="17">
        <f t="shared" si="8"/>
        <v>1081000</v>
      </c>
      <c r="K129" s="17">
        <f t="shared" si="9"/>
        <v>-52000</v>
      </c>
    </row>
    <row r="130" spans="1:11">
      <c r="A130" s="14" t="str">
        <f>Employee_Data!A130</f>
        <v>EMP0129</v>
      </c>
      <c r="B130" s="15" t="str">
        <f>Employee_Data!B130</f>
        <v>Engineering</v>
      </c>
      <c r="C130" s="16">
        <f>ROUND(Employee_Data!E130*1.05,-3)</f>
        <v>825000</v>
      </c>
      <c r="D130" s="16">
        <f>Employee_Data!E130</f>
        <v>786000</v>
      </c>
      <c r="E130" s="16">
        <f t="shared" si="5"/>
        <v>-39000</v>
      </c>
      <c r="F130" s="16">
        <f>ROUND(Employee_Data!G130*0.95,-3)</f>
        <v>14000</v>
      </c>
      <c r="G130" s="16">
        <f>Employee_Data!G130</f>
        <v>15000</v>
      </c>
      <c r="H130" s="16">
        <f t="shared" si="6"/>
        <v>1000</v>
      </c>
      <c r="I130" s="17">
        <f t="shared" si="7"/>
        <v>839000</v>
      </c>
      <c r="J130" s="17">
        <f t="shared" si="8"/>
        <v>801000</v>
      </c>
      <c r="K130" s="17">
        <f t="shared" si="9"/>
        <v>-38000</v>
      </c>
    </row>
    <row r="131" spans="1:11">
      <c r="A131" s="14" t="str">
        <f>Employee_Data!A131</f>
        <v>EMP0130</v>
      </c>
      <c r="B131" s="15" t="str">
        <f>Employee_Data!B131</f>
        <v>Engineering</v>
      </c>
      <c r="C131" s="16">
        <f>ROUND(Employee_Data!E131*1.05,-3)</f>
        <v>1152000</v>
      </c>
      <c r="D131" s="16">
        <f>Employee_Data!E131</f>
        <v>1097000</v>
      </c>
      <c r="E131" s="16">
        <f t="shared" ref="E131:E194" si="10">D131-C131</f>
        <v>-55000</v>
      </c>
      <c r="F131" s="16">
        <f>ROUND(Employee_Data!G131*0.95,-3)</f>
        <v>14000</v>
      </c>
      <c r="G131" s="16">
        <f>Employee_Data!G131</f>
        <v>15000</v>
      </c>
      <c r="H131" s="16">
        <f t="shared" ref="H131:H194" si="11">G131-F131</f>
        <v>1000</v>
      </c>
      <c r="I131" s="17">
        <f t="shared" ref="I131:I194" si="12">C131+F131</f>
        <v>1166000</v>
      </c>
      <c r="J131" s="17">
        <f t="shared" ref="J131:J194" si="13">D131+G131</f>
        <v>1112000</v>
      </c>
      <c r="K131" s="17">
        <f t="shared" ref="K131:K194" si="14">J131-I131</f>
        <v>-54000</v>
      </c>
    </row>
    <row r="132" spans="1:11">
      <c r="A132" s="14" t="str">
        <f>Employee_Data!A132</f>
        <v>EMP0131</v>
      </c>
      <c r="B132" s="15" t="str">
        <f>Employee_Data!B132</f>
        <v>Engineering</v>
      </c>
      <c r="C132" s="16">
        <f>ROUND(Employee_Data!E132*1.05,-3)</f>
        <v>631000</v>
      </c>
      <c r="D132" s="16">
        <f>Employee_Data!E132</f>
        <v>601000</v>
      </c>
      <c r="E132" s="16">
        <f t="shared" si="10"/>
        <v>-30000</v>
      </c>
      <c r="F132" s="16">
        <f>ROUND(Employee_Data!G132*0.95,-3)</f>
        <v>33000</v>
      </c>
      <c r="G132" s="16">
        <f>Employee_Data!G132</f>
        <v>35000</v>
      </c>
      <c r="H132" s="16">
        <f t="shared" si="11"/>
        <v>2000</v>
      </c>
      <c r="I132" s="17">
        <f t="shared" si="12"/>
        <v>664000</v>
      </c>
      <c r="J132" s="17">
        <f t="shared" si="13"/>
        <v>636000</v>
      </c>
      <c r="K132" s="17">
        <f t="shared" si="14"/>
        <v>-28000</v>
      </c>
    </row>
    <row r="133" spans="1:11">
      <c r="A133" s="14" t="str">
        <f>Employee_Data!A133</f>
        <v>EMP0132</v>
      </c>
      <c r="B133" s="15" t="str">
        <f>Employee_Data!B133</f>
        <v>Engineering</v>
      </c>
      <c r="C133" s="16">
        <f>ROUND(Employee_Data!E133*1.05,-3)</f>
        <v>862000</v>
      </c>
      <c r="D133" s="16">
        <f>Employee_Data!E133</f>
        <v>821000</v>
      </c>
      <c r="E133" s="16">
        <f t="shared" si="10"/>
        <v>-41000</v>
      </c>
      <c r="F133" s="16">
        <f>ROUND(Employee_Data!G133*0.95,-3)</f>
        <v>24000</v>
      </c>
      <c r="G133" s="16">
        <f>Employee_Data!G133</f>
        <v>25000</v>
      </c>
      <c r="H133" s="16">
        <f t="shared" si="11"/>
        <v>1000</v>
      </c>
      <c r="I133" s="17">
        <f t="shared" si="12"/>
        <v>886000</v>
      </c>
      <c r="J133" s="17">
        <f t="shared" si="13"/>
        <v>846000</v>
      </c>
      <c r="K133" s="17">
        <f t="shared" si="14"/>
        <v>-40000</v>
      </c>
    </row>
    <row r="134" spans="1:11">
      <c r="A134" s="14" t="str">
        <f>Employee_Data!A134</f>
        <v>EMP0133</v>
      </c>
      <c r="B134" s="15" t="str">
        <f>Employee_Data!B134</f>
        <v>Engineering</v>
      </c>
      <c r="C134" s="16">
        <f>ROUND(Employee_Data!E134*1.05,-3)</f>
        <v>773000</v>
      </c>
      <c r="D134" s="16">
        <f>Employee_Data!E134</f>
        <v>736000</v>
      </c>
      <c r="E134" s="16">
        <f t="shared" si="10"/>
        <v>-37000</v>
      </c>
      <c r="F134" s="16">
        <f>ROUND(Employee_Data!G134*0.95,-3)</f>
        <v>21000</v>
      </c>
      <c r="G134" s="16">
        <f>Employee_Data!G134</f>
        <v>22000</v>
      </c>
      <c r="H134" s="16">
        <f t="shared" si="11"/>
        <v>1000</v>
      </c>
      <c r="I134" s="17">
        <f t="shared" si="12"/>
        <v>794000</v>
      </c>
      <c r="J134" s="17">
        <f t="shared" si="13"/>
        <v>758000</v>
      </c>
      <c r="K134" s="17">
        <f t="shared" si="14"/>
        <v>-36000</v>
      </c>
    </row>
    <row r="135" spans="1:11">
      <c r="A135" s="14" t="str">
        <f>Employee_Data!A135</f>
        <v>EMP0134</v>
      </c>
      <c r="B135" s="15" t="str">
        <f>Employee_Data!B135</f>
        <v>Engineering</v>
      </c>
      <c r="C135" s="16">
        <f>ROUND(Employee_Data!E135*1.05,-3)</f>
        <v>1271000</v>
      </c>
      <c r="D135" s="16">
        <f>Employee_Data!E135</f>
        <v>1210000</v>
      </c>
      <c r="E135" s="16">
        <f t="shared" si="10"/>
        <v>-61000</v>
      </c>
      <c r="F135" s="16">
        <f>ROUND(Employee_Data!G135*0.95,-3)</f>
        <v>29000</v>
      </c>
      <c r="G135" s="16">
        <f>Employee_Data!G135</f>
        <v>30000</v>
      </c>
      <c r="H135" s="16">
        <f t="shared" si="11"/>
        <v>1000</v>
      </c>
      <c r="I135" s="17">
        <f t="shared" si="12"/>
        <v>1300000</v>
      </c>
      <c r="J135" s="17">
        <f t="shared" si="13"/>
        <v>1240000</v>
      </c>
      <c r="K135" s="17">
        <f t="shared" si="14"/>
        <v>-60000</v>
      </c>
    </row>
    <row r="136" spans="1:11">
      <c r="A136" s="14" t="str">
        <f>Employee_Data!A136</f>
        <v>EMP0135</v>
      </c>
      <c r="B136" s="15" t="str">
        <f>Employee_Data!B136</f>
        <v>Engineering</v>
      </c>
      <c r="C136" s="16">
        <f>ROUND(Employee_Data!E136*1.05,-3)</f>
        <v>978000</v>
      </c>
      <c r="D136" s="16">
        <f>Employee_Data!E136</f>
        <v>931000</v>
      </c>
      <c r="E136" s="16">
        <f t="shared" si="10"/>
        <v>-47000</v>
      </c>
      <c r="F136" s="16">
        <f>ROUND(Employee_Data!G136*0.95,-3)</f>
        <v>21000</v>
      </c>
      <c r="G136" s="16">
        <f>Employee_Data!G136</f>
        <v>22000</v>
      </c>
      <c r="H136" s="16">
        <f t="shared" si="11"/>
        <v>1000</v>
      </c>
      <c r="I136" s="17">
        <f t="shared" si="12"/>
        <v>999000</v>
      </c>
      <c r="J136" s="17">
        <f t="shared" si="13"/>
        <v>953000</v>
      </c>
      <c r="K136" s="17">
        <f t="shared" si="14"/>
        <v>-46000</v>
      </c>
    </row>
    <row r="137" spans="1:11">
      <c r="A137" s="14" t="str">
        <f>Employee_Data!A137</f>
        <v>EMP0136</v>
      </c>
      <c r="B137" s="15" t="str">
        <f>Employee_Data!B137</f>
        <v>Engineering</v>
      </c>
      <c r="C137" s="16">
        <f>ROUND(Employee_Data!E137*1.05,-3)</f>
        <v>694000</v>
      </c>
      <c r="D137" s="16">
        <f>Employee_Data!E137</f>
        <v>661000</v>
      </c>
      <c r="E137" s="16">
        <f t="shared" si="10"/>
        <v>-33000</v>
      </c>
      <c r="F137" s="16">
        <f>ROUND(Employee_Data!G137*0.95,-3)</f>
        <v>17000</v>
      </c>
      <c r="G137" s="16">
        <f>Employee_Data!G137</f>
        <v>18000</v>
      </c>
      <c r="H137" s="16">
        <f t="shared" si="11"/>
        <v>1000</v>
      </c>
      <c r="I137" s="17">
        <f t="shared" si="12"/>
        <v>711000</v>
      </c>
      <c r="J137" s="17">
        <f t="shared" si="13"/>
        <v>679000</v>
      </c>
      <c r="K137" s="17">
        <f t="shared" si="14"/>
        <v>-32000</v>
      </c>
    </row>
    <row r="138" spans="1:11">
      <c r="A138" s="14" t="str">
        <f>Employee_Data!A138</f>
        <v>EMP0137</v>
      </c>
      <c r="B138" s="15" t="str">
        <f>Employee_Data!B138</f>
        <v>Engineering</v>
      </c>
      <c r="C138" s="16">
        <f>ROUND(Employee_Data!E138*1.05,-3)</f>
        <v>1215000</v>
      </c>
      <c r="D138" s="16">
        <f>Employee_Data!E138</f>
        <v>1157000</v>
      </c>
      <c r="E138" s="16">
        <f t="shared" si="10"/>
        <v>-58000</v>
      </c>
      <c r="F138" s="16">
        <f>ROUND(Employee_Data!G138*0.95,-3)</f>
        <v>14000</v>
      </c>
      <c r="G138" s="16">
        <f>Employee_Data!G138</f>
        <v>15000</v>
      </c>
      <c r="H138" s="16">
        <f t="shared" si="11"/>
        <v>1000</v>
      </c>
      <c r="I138" s="17">
        <f t="shared" si="12"/>
        <v>1229000</v>
      </c>
      <c r="J138" s="17">
        <f t="shared" si="13"/>
        <v>1172000</v>
      </c>
      <c r="K138" s="17">
        <f t="shared" si="14"/>
        <v>-57000</v>
      </c>
    </row>
    <row r="139" spans="1:11">
      <c r="A139" s="14" t="str">
        <f>Employee_Data!A139</f>
        <v>EMP0138</v>
      </c>
      <c r="B139" s="15" t="str">
        <f>Employee_Data!B139</f>
        <v>Engineering</v>
      </c>
      <c r="C139" s="16">
        <f>ROUND(Employee_Data!E139*1.05,-3)</f>
        <v>996000</v>
      </c>
      <c r="D139" s="16">
        <f>Employee_Data!E139</f>
        <v>949000</v>
      </c>
      <c r="E139" s="16">
        <f t="shared" si="10"/>
        <v>-47000</v>
      </c>
      <c r="F139" s="16">
        <f>ROUND(Employee_Data!G139*0.95,-3)</f>
        <v>21000</v>
      </c>
      <c r="G139" s="16">
        <f>Employee_Data!G139</f>
        <v>22000</v>
      </c>
      <c r="H139" s="16">
        <f t="shared" si="11"/>
        <v>1000</v>
      </c>
      <c r="I139" s="17">
        <f t="shared" si="12"/>
        <v>1017000</v>
      </c>
      <c r="J139" s="17">
        <f t="shared" si="13"/>
        <v>971000</v>
      </c>
      <c r="K139" s="17">
        <f t="shared" si="14"/>
        <v>-46000</v>
      </c>
    </row>
    <row r="140" spans="1:11">
      <c r="A140" s="14" t="str">
        <f>Employee_Data!A140</f>
        <v>EMP0139</v>
      </c>
      <c r="B140" s="15" t="str">
        <f>Employee_Data!B140</f>
        <v>Engineering</v>
      </c>
      <c r="C140" s="16">
        <f>ROUND(Employee_Data!E140*1.05,-3)</f>
        <v>926000</v>
      </c>
      <c r="D140" s="16">
        <f>Employee_Data!E140</f>
        <v>882000</v>
      </c>
      <c r="E140" s="16">
        <f t="shared" si="10"/>
        <v>-44000</v>
      </c>
      <c r="F140" s="16">
        <f>ROUND(Employee_Data!G140*0.95,-3)</f>
        <v>21000</v>
      </c>
      <c r="G140" s="16">
        <f>Employee_Data!G140</f>
        <v>22000</v>
      </c>
      <c r="H140" s="16">
        <f t="shared" si="11"/>
        <v>1000</v>
      </c>
      <c r="I140" s="17">
        <f t="shared" si="12"/>
        <v>947000</v>
      </c>
      <c r="J140" s="17">
        <f t="shared" si="13"/>
        <v>904000</v>
      </c>
      <c r="K140" s="17">
        <f t="shared" si="14"/>
        <v>-43000</v>
      </c>
    </row>
    <row r="141" spans="1:11">
      <c r="A141" s="14" t="str">
        <f>Employee_Data!A141</f>
        <v>EMP0140</v>
      </c>
      <c r="B141" s="15" t="str">
        <f>Employee_Data!B141</f>
        <v>Engineering</v>
      </c>
      <c r="C141" s="16">
        <f>ROUND(Employee_Data!E141*1.05,-3)</f>
        <v>985000</v>
      </c>
      <c r="D141" s="16">
        <f>Employee_Data!E141</f>
        <v>938000</v>
      </c>
      <c r="E141" s="16">
        <f t="shared" si="10"/>
        <v>-47000</v>
      </c>
      <c r="F141" s="16">
        <f>ROUND(Employee_Data!G141*0.95,-3)</f>
        <v>19000</v>
      </c>
      <c r="G141" s="16">
        <f>Employee_Data!G141</f>
        <v>20000</v>
      </c>
      <c r="H141" s="16">
        <f t="shared" si="11"/>
        <v>1000</v>
      </c>
      <c r="I141" s="17">
        <f t="shared" si="12"/>
        <v>1004000</v>
      </c>
      <c r="J141" s="17">
        <f t="shared" si="13"/>
        <v>958000</v>
      </c>
      <c r="K141" s="17">
        <f t="shared" si="14"/>
        <v>-46000</v>
      </c>
    </row>
    <row r="142" spans="1:11">
      <c r="A142" s="14" t="str">
        <f>Employee_Data!A142</f>
        <v>EMP0141</v>
      </c>
      <c r="B142" s="15" t="str">
        <f>Employee_Data!B142</f>
        <v>Engineering</v>
      </c>
      <c r="C142" s="16">
        <f>ROUND(Employee_Data!E142*1.05,-3)</f>
        <v>732000</v>
      </c>
      <c r="D142" s="16">
        <f>Employee_Data!E142</f>
        <v>697000</v>
      </c>
      <c r="E142" s="16">
        <f t="shared" si="10"/>
        <v>-35000</v>
      </c>
      <c r="F142" s="16">
        <f>ROUND(Employee_Data!G142*0.95,-3)</f>
        <v>24000</v>
      </c>
      <c r="G142" s="16">
        <f>Employee_Data!G142</f>
        <v>25000</v>
      </c>
      <c r="H142" s="16">
        <f t="shared" si="11"/>
        <v>1000</v>
      </c>
      <c r="I142" s="17">
        <f t="shared" si="12"/>
        <v>756000</v>
      </c>
      <c r="J142" s="17">
        <f t="shared" si="13"/>
        <v>722000</v>
      </c>
      <c r="K142" s="17">
        <f t="shared" si="14"/>
        <v>-34000</v>
      </c>
    </row>
    <row r="143" spans="1:11">
      <c r="A143" s="14" t="str">
        <f>Employee_Data!A143</f>
        <v>EMP0142</v>
      </c>
      <c r="B143" s="15" t="str">
        <f>Employee_Data!B143</f>
        <v>Engineering</v>
      </c>
      <c r="C143" s="16">
        <f>ROUND(Employee_Data!E143*1.05,-3)</f>
        <v>1117000</v>
      </c>
      <c r="D143" s="16">
        <f>Employee_Data!E143</f>
        <v>1064000</v>
      </c>
      <c r="E143" s="16">
        <f t="shared" si="10"/>
        <v>-53000</v>
      </c>
      <c r="F143" s="16">
        <f>ROUND(Employee_Data!G143*0.95,-3)</f>
        <v>24000</v>
      </c>
      <c r="G143" s="16">
        <f>Employee_Data!G143</f>
        <v>25000</v>
      </c>
      <c r="H143" s="16">
        <f t="shared" si="11"/>
        <v>1000</v>
      </c>
      <c r="I143" s="17">
        <f t="shared" si="12"/>
        <v>1141000</v>
      </c>
      <c r="J143" s="17">
        <f t="shared" si="13"/>
        <v>1089000</v>
      </c>
      <c r="K143" s="17">
        <f t="shared" si="14"/>
        <v>-52000</v>
      </c>
    </row>
    <row r="144" spans="1:11">
      <c r="A144" s="14" t="str">
        <f>Employee_Data!A144</f>
        <v>EMP0143</v>
      </c>
      <c r="B144" s="15" t="str">
        <f>Employee_Data!B144</f>
        <v>Engineering</v>
      </c>
      <c r="C144" s="16">
        <f>ROUND(Employee_Data!E144*1.05,-3)</f>
        <v>1059000</v>
      </c>
      <c r="D144" s="16">
        <f>Employee_Data!E144</f>
        <v>1009000</v>
      </c>
      <c r="E144" s="16">
        <f t="shared" si="10"/>
        <v>-50000</v>
      </c>
      <c r="F144" s="16">
        <f>ROUND(Employee_Data!G144*0.95,-3)</f>
        <v>29000</v>
      </c>
      <c r="G144" s="16">
        <f>Employee_Data!G144</f>
        <v>30000</v>
      </c>
      <c r="H144" s="16">
        <f t="shared" si="11"/>
        <v>1000</v>
      </c>
      <c r="I144" s="17">
        <f t="shared" si="12"/>
        <v>1088000</v>
      </c>
      <c r="J144" s="17">
        <f t="shared" si="13"/>
        <v>1039000</v>
      </c>
      <c r="K144" s="17">
        <f t="shared" si="14"/>
        <v>-49000</v>
      </c>
    </row>
    <row r="145" spans="1:11">
      <c r="A145" s="14" t="str">
        <f>Employee_Data!A145</f>
        <v>EMP0144</v>
      </c>
      <c r="B145" s="15" t="str">
        <f>Employee_Data!B145</f>
        <v>Engineering</v>
      </c>
      <c r="C145" s="16">
        <f>ROUND(Employee_Data!E145*1.05,-3)</f>
        <v>856000</v>
      </c>
      <c r="D145" s="16">
        <f>Employee_Data!E145</f>
        <v>815000</v>
      </c>
      <c r="E145" s="16">
        <f t="shared" si="10"/>
        <v>-41000</v>
      </c>
      <c r="F145" s="16">
        <f>ROUND(Employee_Data!G145*0.95,-3)</f>
        <v>14000</v>
      </c>
      <c r="G145" s="16">
        <f>Employee_Data!G145</f>
        <v>15000</v>
      </c>
      <c r="H145" s="16">
        <f t="shared" si="11"/>
        <v>1000</v>
      </c>
      <c r="I145" s="17">
        <f t="shared" si="12"/>
        <v>870000</v>
      </c>
      <c r="J145" s="17">
        <f t="shared" si="13"/>
        <v>830000</v>
      </c>
      <c r="K145" s="17">
        <f t="shared" si="14"/>
        <v>-40000</v>
      </c>
    </row>
    <row r="146" spans="1:11">
      <c r="A146" s="14" t="str">
        <f>Employee_Data!A146</f>
        <v>EMP0145</v>
      </c>
      <c r="B146" s="15" t="str">
        <f>Employee_Data!B146</f>
        <v>Engineering</v>
      </c>
      <c r="C146" s="16">
        <f>ROUND(Employee_Data!E146*1.05,-3)</f>
        <v>906000</v>
      </c>
      <c r="D146" s="16">
        <f>Employee_Data!E146</f>
        <v>863000</v>
      </c>
      <c r="E146" s="16">
        <f t="shared" si="10"/>
        <v>-43000</v>
      </c>
      <c r="F146" s="16">
        <f>ROUND(Employee_Data!G146*0.95,-3)</f>
        <v>19000</v>
      </c>
      <c r="G146" s="16">
        <f>Employee_Data!G146</f>
        <v>20000</v>
      </c>
      <c r="H146" s="16">
        <f t="shared" si="11"/>
        <v>1000</v>
      </c>
      <c r="I146" s="17">
        <f t="shared" si="12"/>
        <v>925000</v>
      </c>
      <c r="J146" s="17">
        <f t="shared" si="13"/>
        <v>883000</v>
      </c>
      <c r="K146" s="17">
        <f t="shared" si="14"/>
        <v>-42000</v>
      </c>
    </row>
    <row r="147" spans="1:11">
      <c r="A147" s="14" t="str">
        <f>Employee_Data!A147</f>
        <v>EMP0146</v>
      </c>
      <c r="B147" s="15" t="str">
        <f>Employee_Data!B147</f>
        <v>Engineering</v>
      </c>
      <c r="C147" s="16">
        <f>ROUND(Employee_Data!E147*1.05,-3)</f>
        <v>1041000</v>
      </c>
      <c r="D147" s="16">
        <f>Employee_Data!E147</f>
        <v>991000</v>
      </c>
      <c r="E147" s="16">
        <f t="shared" si="10"/>
        <v>-50000</v>
      </c>
      <c r="F147" s="16">
        <f>ROUND(Employee_Data!G147*0.95,-3)</f>
        <v>29000</v>
      </c>
      <c r="G147" s="16">
        <f>Employee_Data!G147</f>
        <v>30000</v>
      </c>
      <c r="H147" s="16">
        <f t="shared" si="11"/>
        <v>1000</v>
      </c>
      <c r="I147" s="17">
        <f t="shared" si="12"/>
        <v>1070000</v>
      </c>
      <c r="J147" s="17">
        <f t="shared" si="13"/>
        <v>1021000</v>
      </c>
      <c r="K147" s="17">
        <f t="shared" si="14"/>
        <v>-49000</v>
      </c>
    </row>
    <row r="148" spans="1:11">
      <c r="A148" s="14" t="str">
        <f>Employee_Data!A148</f>
        <v>EMP0147</v>
      </c>
      <c r="B148" s="15" t="str">
        <f>Employee_Data!B148</f>
        <v>Engineering</v>
      </c>
      <c r="C148" s="16">
        <f>ROUND(Employee_Data!E148*1.05,-3)</f>
        <v>1063000</v>
      </c>
      <c r="D148" s="16">
        <f>Employee_Data!E148</f>
        <v>1012000</v>
      </c>
      <c r="E148" s="16">
        <f t="shared" si="10"/>
        <v>-51000</v>
      </c>
      <c r="F148" s="16">
        <f>ROUND(Employee_Data!G148*0.95,-3)</f>
        <v>27000</v>
      </c>
      <c r="G148" s="16">
        <f>Employee_Data!G148</f>
        <v>28000</v>
      </c>
      <c r="H148" s="16">
        <f t="shared" si="11"/>
        <v>1000</v>
      </c>
      <c r="I148" s="17">
        <f t="shared" si="12"/>
        <v>1090000</v>
      </c>
      <c r="J148" s="17">
        <f t="shared" si="13"/>
        <v>1040000</v>
      </c>
      <c r="K148" s="17">
        <f t="shared" si="14"/>
        <v>-50000</v>
      </c>
    </row>
    <row r="149" spans="1:11">
      <c r="A149" s="14" t="str">
        <f>Employee_Data!A149</f>
        <v>EMP0148</v>
      </c>
      <c r="B149" s="15" t="str">
        <f>Employee_Data!B149</f>
        <v>Engineering</v>
      </c>
      <c r="C149" s="16">
        <f>ROUND(Employee_Data!E149*1.05,-3)</f>
        <v>707000</v>
      </c>
      <c r="D149" s="16">
        <f>Employee_Data!E149</f>
        <v>673000</v>
      </c>
      <c r="E149" s="16">
        <f t="shared" si="10"/>
        <v>-34000</v>
      </c>
      <c r="F149" s="16">
        <f>ROUND(Employee_Data!G149*0.95,-3)</f>
        <v>33000</v>
      </c>
      <c r="G149" s="16">
        <f>Employee_Data!G149</f>
        <v>35000</v>
      </c>
      <c r="H149" s="16">
        <f t="shared" si="11"/>
        <v>2000</v>
      </c>
      <c r="I149" s="17">
        <f t="shared" si="12"/>
        <v>740000</v>
      </c>
      <c r="J149" s="17">
        <f t="shared" si="13"/>
        <v>708000</v>
      </c>
      <c r="K149" s="17">
        <f t="shared" si="14"/>
        <v>-32000</v>
      </c>
    </row>
    <row r="150" spans="1:11">
      <c r="A150" s="14" t="str">
        <f>Employee_Data!A150</f>
        <v>EMP0149</v>
      </c>
      <c r="B150" s="15" t="str">
        <f>Employee_Data!B150</f>
        <v>Engineering</v>
      </c>
      <c r="C150" s="16">
        <f>ROUND(Employee_Data!E150*1.05,-3)</f>
        <v>736000</v>
      </c>
      <c r="D150" s="16">
        <f>Employee_Data!E150</f>
        <v>701000</v>
      </c>
      <c r="E150" s="16">
        <f t="shared" si="10"/>
        <v>-35000</v>
      </c>
      <c r="F150" s="16">
        <f>ROUND(Employee_Data!G150*0.95,-3)</f>
        <v>33000</v>
      </c>
      <c r="G150" s="16">
        <f>Employee_Data!G150</f>
        <v>35000</v>
      </c>
      <c r="H150" s="16">
        <f t="shared" si="11"/>
        <v>2000</v>
      </c>
      <c r="I150" s="17">
        <f t="shared" si="12"/>
        <v>769000</v>
      </c>
      <c r="J150" s="17">
        <f t="shared" si="13"/>
        <v>736000</v>
      </c>
      <c r="K150" s="17">
        <f t="shared" si="14"/>
        <v>-33000</v>
      </c>
    </row>
    <row r="151" spans="1:11">
      <c r="A151" s="14" t="str">
        <f>Employee_Data!A151</f>
        <v>EMP0150</v>
      </c>
      <c r="B151" s="15" t="str">
        <f>Employee_Data!B151</f>
        <v>Engineering</v>
      </c>
      <c r="C151" s="16">
        <f>ROUND(Employee_Data!E151*1.05,-3)</f>
        <v>699000</v>
      </c>
      <c r="D151" s="16">
        <f>Employee_Data!E151</f>
        <v>666000</v>
      </c>
      <c r="E151" s="16">
        <f t="shared" si="10"/>
        <v>-33000</v>
      </c>
      <c r="F151" s="16">
        <f>ROUND(Employee_Data!G151*0.95,-3)</f>
        <v>14000</v>
      </c>
      <c r="G151" s="16">
        <f>Employee_Data!G151</f>
        <v>15000</v>
      </c>
      <c r="H151" s="16">
        <f t="shared" si="11"/>
        <v>1000</v>
      </c>
      <c r="I151" s="17">
        <f t="shared" si="12"/>
        <v>713000</v>
      </c>
      <c r="J151" s="17">
        <f t="shared" si="13"/>
        <v>681000</v>
      </c>
      <c r="K151" s="17">
        <f t="shared" si="14"/>
        <v>-32000</v>
      </c>
    </row>
    <row r="152" spans="1:11">
      <c r="A152" s="14" t="str">
        <f>Employee_Data!A152</f>
        <v>EMP0151</v>
      </c>
      <c r="B152" s="15" t="str">
        <f>Employee_Data!B152</f>
        <v>Sales</v>
      </c>
      <c r="C152" s="16">
        <f>ROUND(Employee_Data!E152*1.05,-3)</f>
        <v>676000</v>
      </c>
      <c r="D152" s="16">
        <f>Employee_Data!E152</f>
        <v>644000</v>
      </c>
      <c r="E152" s="16">
        <f t="shared" si="10"/>
        <v>-32000</v>
      </c>
      <c r="F152" s="16">
        <f>ROUND(Employee_Data!G152*0.95,-3)</f>
        <v>27000</v>
      </c>
      <c r="G152" s="16">
        <f>Employee_Data!G152</f>
        <v>28000</v>
      </c>
      <c r="H152" s="16">
        <f t="shared" si="11"/>
        <v>1000</v>
      </c>
      <c r="I152" s="17">
        <f t="shared" si="12"/>
        <v>703000</v>
      </c>
      <c r="J152" s="17">
        <f t="shared" si="13"/>
        <v>672000</v>
      </c>
      <c r="K152" s="17">
        <f t="shared" si="14"/>
        <v>-31000</v>
      </c>
    </row>
    <row r="153" spans="1:11">
      <c r="A153" s="14" t="str">
        <f>Employee_Data!A153</f>
        <v>EMP0152</v>
      </c>
      <c r="B153" s="15" t="str">
        <f>Employee_Data!B153</f>
        <v>Sales</v>
      </c>
      <c r="C153" s="16">
        <f>ROUND(Employee_Data!E153*1.05,-3)</f>
        <v>680000</v>
      </c>
      <c r="D153" s="16">
        <f>Employee_Data!E153</f>
        <v>648000</v>
      </c>
      <c r="E153" s="16">
        <f t="shared" si="10"/>
        <v>-32000</v>
      </c>
      <c r="F153" s="16">
        <f>ROUND(Employee_Data!G153*0.95,-3)</f>
        <v>24000</v>
      </c>
      <c r="G153" s="16">
        <f>Employee_Data!G153</f>
        <v>25000</v>
      </c>
      <c r="H153" s="16">
        <f t="shared" si="11"/>
        <v>1000</v>
      </c>
      <c r="I153" s="17">
        <f t="shared" si="12"/>
        <v>704000</v>
      </c>
      <c r="J153" s="17">
        <f t="shared" si="13"/>
        <v>673000</v>
      </c>
      <c r="K153" s="17">
        <f t="shared" si="14"/>
        <v>-31000</v>
      </c>
    </row>
    <row r="154" spans="1:11">
      <c r="A154" s="14" t="str">
        <f>Employee_Data!A154</f>
        <v>EMP0153</v>
      </c>
      <c r="B154" s="15" t="str">
        <f>Employee_Data!B154</f>
        <v>Sales</v>
      </c>
      <c r="C154" s="16">
        <f>ROUND(Employee_Data!E154*1.05,-3)</f>
        <v>1151000</v>
      </c>
      <c r="D154" s="16">
        <f>Employee_Data!E154</f>
        <v>1096000</v>
      </c>
      <c r="E154" s="16">
        <f t="shared" si="10"/>
        <v>-55000</v>
      </c>
      <c r="F154" s="16">
        <f>ROUND(Employee_Data!G154*0.95,-3)</f>
        <v>17000</v>
      </c>
      <c r="G154" s="16">
        <f>Employee_Data!G154</f>
        <v>18000</v>
      </c>
      <c r="H154" s="16">
        <f t="shared" si="11"/>
        <v>1000</v>
      </c>
      <c r="I154" s="17">
        <f t="shared" si="12"/>
        <v>1168000</v>
      </c>
      <c r="J154" s="17">
        <f t="shared" si="13"/>
        <v>1114000</v>
      </c>
      <c r="K154" s="17">
        <f t="shared" si="14"/>
        <v>-54000</v>
      </c>
    </row>
    <row r="155" spans="1:11">
      <c r="A155" s="14" t="str">
        <f>Employee_Data!A155</f>
        <v>EMP0154</v>
      </c>
      <c r="B155" s="15" t="str">
        <f>Employee_Data!B155</f>
        <v>Sales</v>
      </c>
      <c r="C155" s="16">
        <f>ROUND(Employee_Data!E155*1.05,-3)</f>
        <v>734000</v>
      </c>
      <c r="D155" s="16">
        <f>Employee_Data!E155</f>
        <v>699000</v>
      </c>
      <c r="E155" s="16">
        <f t="shared" si="10"/>
        <v>-35000</v>
      </c>
      <c r="F155" s="16">
        <f>ROUND(Employee_Data!G155*0.95,-3)</f>
        <v>24000</v>
      </c>
      <c r="G155" s="16">
        <f>Employee_Data!G155</f>
        <v>25000</v>
      </c>
      <c r="H155" s="16">
        <f t="shared" si="11"/>
        <v>1000</v>
      </c>
      <c r="I155" s="17">
        <f t="shared" si="12"/>
        <v>758000</v>
      </c>
      <c r="J155" s="17">
        <f t="shared" si="13"/>
        <v>724000</v>
      </c>
      <c r="K155" s="17">
        <f t="shared" si="14"/>
        <v>-34000</v>
      </c>
    </row>
    <row r="156" spans="1:11">
      <c r="A156" s="14" t="str">
        <f>Employee_Data!A156</f>
        <v>EMP0155</v>
      </c>
      <c r="B156" s="15" t="str">
        <f>Employee_Data!B156</f>
        <v>Sales</v>
      </c>
      <c r="C156" s="16">
        <f>ROUND(Employee_Data!E156*1.05,-3)</f>
        <v>628000</v>
      </c>
      <c r="D156" s="16">
        <f>Employee_Data!E156</f>
        <v>598000</v>
      </c>
      <c r="E156" s="16">
        <f t="shared" si="10"/>
        <v>-30000</v>
      </c>
      <c r="F156" s="16">
        <f>ROUND(Employee_Data!G156*0.95,-3)</f>
        <v>17000</v>
      </c>
      <c r="G156" s="16">
        <f>Employee_Data!G156</f>
        <v>18000</v>
      </c>
      <c r="H156" s="16">
        <f t="shared" si="11"/>
        <v>1000</v>
      </c>
      <c r="I156" s="17">
        <f t="shared" si="12"/>
        <v>645000</v>
      </c>
      <c r="J156" s="17">
        <f t="shared" si="13"/>
        <v>616000</v>
      </c>
      <c r="K156" s="17">
        <f t="shared" si="14"/>
        <v>-29000</v>
      </c>
    </row>
    <row r="157" spans="1:11">
      <c r="A157" s="14" t="str">
        <f>Employee_Data!A157</f>
        <v>EMP0156</v>
      </c>
      <c r="B157" s="15" t="str">
        <f>Employee_Data!B157</f>
        <v>Sales</v>
      </c>
      <c r="C157" s="16">
        <f>ROUND(Employee_Data!E157*1.05,-3)</f>
        <v>683000</v>
      </c>
      <c r="D157" s="16">
        <f>Employee_Data!E157</f>
        <v>650000</v>
      </c>
      <c r="E157" s="16">
        <f t="shared" si="10"/>
        <v>-33000</v>
      </c>
      <c r="F157" s="16">
        <f>ROUND(Employee_Data!G157*0.95,-3)</f>
        <v>24000</v>
      </c>
      <c r="G157" s="16">
        <f>Employee_Data!G157</f>
        <v>25000</v>
      </c>
      <c r="H157" s="16">
        <f t="shared" si="11"/>
        <v>1000</v>
      </c>
      <c r="I157" s="17">
        <f t="shared" si="12"/>
        <v>707000</v>
      </c>
      <c r="J157" s="17">
        <f t="shared" si="13"/>
        <v>675000</v>
      </c>
      <c r="K157" s="17">
        <f t="shared" si="14"/>
        <v>-32000</v>
      </c>
    </row>
    <row r="158" spans="1:11">
      <c r="A158" s="14" t="str">
        <f>Employee_Data!A158</f>
        <v>EMP0157</v>
      </c>
      <c r="B158" s="15" t="str">
        <f>Employee_Data!B158</f>
        <v>Sales</v>
      </c>
      <c r="C158" s="16">
        <f>ROUND(Employee_Data!E158*1.05,-3)</f>
        <v>683000</v>
      </c>
      <c r="D158" s="16">
        <f>Employee_Data!E158</f>
        <v>650000</v>
      </c>
      <c r="E158" s="16">
        <f t="shared" si="10"/>
        <v>-33000</v>
      </c>
      <c r="F158" s="16">
        <f>ROUND(Employee_Data!G158*0.95,-3)</f>
        <v>21000</v>
      </c>
      <c r="G158" s="16">
        <f>Employee_Data!G158</f>
        <v>22000</v>
      </c>
      <c r="H158" s="16">
        <f t="shared" si="11"/>
        <v>1000</v>
      </c>
      <c r="I158" s="17">
        <f t="shared" si="12"/>
        <v>704000</v>
      </c>
      <c r="J158" s="17">
        <f t="shared" si="13"/>
        <v>672000</v>
      </c>
      <c r="K158" s="17">
        <f t="shared" si="14"/>
        <v>-32000</v>
      </c>
    </row>
    <row r="159" spans="1:11">
      <c r="A159" s="14" t="str">
        <f>Employee_Data!A159</f>
        <v>EMP0158</v>
      </c>
      <c r="B159" s="15" t="str">
        <f>Employee_Data!B159</f>
        <v>Sales</v>
      </c>
      <c r="C159" s="16">
        <f>ROUND(Employee_Data!E159*1.05,-3)</f>
        <v>593000</v>
      </c>
      <c r="D159" s="16">
        <f>Employee_Data!E159</f>
        <v>565000</v>
      </c>
      <c r="E159" s="16">
        <f t="shared" si="10"/>
        <v>-28000</v>
      </c>
      <c r="F159" s="16">
        <f>ROUND(Employee_Data!G159*0.95,-3)</f>
        <v>19000</v>
      </c>
      <c r="G159" s="16">
        <f>Employee_Data!G159</f>
        <v>20000</v>
      </c>
      <c r="H159" s="16">
        <f t="shared" si="11"/>
        <v>1000</v>
      </c>
      <c r="I159" s="17">
        <f t="shared" si="12"/>
        <v>612000</v>
      </c>
      <c r="J159" s="17">
        <f t="shared" si="13"/>
        <v>585000</v>
      </c>
      <c r="K159" s="17">
        <f t="shared" si="14"/>
        <v>-27000</v>
      </c>
    </row>
    <row r="160" spans="1:11">
      <c r="A160" s="14" t="str">
        <f>Employee_Data!A160</f>
        <v>EMP0159</v>
      </c>
      <c r="B160" s="15" t="str">
        <f>Employee_Data!B160</f>
        <v>Sales</v>
      </c>
      <c r="C160" s="16">
        <f>ROUND(Employee_Data!E160*1.05,-3)</f>
        <v>676000</v>
      </c>
      <c r="D160" s="16">
        <f>Employee_Data!E160</f>
        <v>644000</v>
      </c>
      <c r="E160" s="16">
        <f t="shared" si="10"/>
        <v>-32000</v>
      </c>
      <c r="F160" s="16">
        <f>ROUND(Employee_Data!G160*0.95,-3)</f>
        <v>24000</v>
      </c>
      <c r="G160" s="16">
        <f>Employee_Data!G160</f>
        <v>25000</v>
      </c>
      <c r="H160" s="16">
        <f t="shared" si="11"/>
        <v>1000</v>
      </c>
      <c r="I160" s="17">
        <f t="shared" si="12"/>
        <v>700000</v>
      </c>
      <c r="J160" s="17">
        <f t="shared" si="13"/>
        <v>669000</v>
      </c>
      <c r="K160" s="17">
        <f t="shared" si="14"/>
        <v>-31000</v>
      </c>
    </row>
    <row r="161" spans="1:11">
      <c r="A161" s="14" t="str">
        <f>Employee_Data!A161</f>
        <v>EMP0160</v>
      </c>
      <c r="B161" s="15" t="str">
        <f>Employee_Data!B161</f>
        <v>Sales</v>
      </c>
      <c r="C161" s="16">
        <f>ROUND(Employee_Data!E161*1.05,-3)</f>
        <v>608000</v>
      </c>
      <c r="D161" s="16">
        <f>Employee_Data!E161</f>
        <v>579000</v>
      </c>
      <c r="E161" s="16">
        <f t="shared" si="10"/>
        <v>-29000</v>
      </c>
      <c r="F161" s="16">
        <f>ROUND(Employee_Data!G161*0.95,-3)</f>
        <v>33000</v>
      </c>
      <c r="G161" s="16">
        <f>Employee_Data!G161</f>
        <v>35000</v>
      </c>
      <c r="H161" s="16">
        <f t="shared" si="11"/>
        <v>2000</v>
      </c>
      <c r="I161" s="17">
        <f t="shared" si="12"/>
        <v>641000</v>
      </c>
      <c r="J161" s="17">
        <f t="shared" si="13"/>
        <v>614000</v>
      </c>
      <c r="K161" s="17">
        <f t="shared" si="14"/>
        <v>-27000</v>
      </c>
    </row>
    <row r="162" spans="1:11">
      <c r="A162" s="14" t="str">
        <f>Employee_Data!A162</f>
        <v>EMP0161</v>
      </c>
      <c r="B162" s="15" t="str">
        <f>Employee_Data!B162</f>
        <v>Sales</v>
      </c>
      <c r="C162" s="16">
        <f>ROUND(Employee_Data!E162*1.05,-3)</f>
        <v>687000</v>
      </c>
      <c r="D162" s="16">
        <f>Employee_Data!E162</f>
        <v>654000</v>
      </c>
      <c r="E162" s="16">
        <f t="shared" si="10"/>
        <v>-33000</v>
      </c>
      <c r="F162" s="16">
        <f>ROUND(Employee_Data!G162*0.95,-3)</f>
        <v>29000</v>
      </c>
      <c r="G162" s="16">
        <f>Employee_Data!G162</f>
        <v>30000</v>
      </c>
      <c r="H162" s="16">
        <f t="shared" si="11"/>
        <v>1000</v>
      </c>
      <c r="I162" s="17">
        <f t="shared" si="12"/>
        <v>716000</v>
      </c>
      <c r="J162" s="17">
        <f t="shared" si="13"/>
        <v>684000</v>
      </c>
      <c r="K162" s="17">
        <f t="shared" si="14"/>
        <v>-32000</v>
      </c>
    </row>
    <row r="163" spans="1:11">
      <c r="A163" s="14" t="str">
        <f>Employee_Data!A163</f>
        <v>EMP0162</v>
      </c>
      <c r="B163" s="15" t="str">
        <f>Employee_Data!B163</f>
        <v>Sales</v>
      </c>
      <c r="C163" s="16">
        <f>ROUND(Employee_Data!E163*1.05,-3)</f>
        <v>593000</v>
      </c>
      <c r="D163" s="16">
        <f>Employee_Data!E163</f>
        <v>565000</v>
      </c>
      <c r="E163" s="16">
        <f t="shared" si="10"/>
        <v>-28000</v>
      </c>
      <c r="F163" s="16">
        <f>ROUND(Employee_Data!G163*0.95,-3)</f>
        <v>29000</v>
      </c>
      <c r="G163" s="16">
        <f>Employee_Data!G163</f>
        <v>30000</v>
      </c>
      <c r="H163" s="16">
        <f t="shared" si="11"/>
        <v>1000</v>
      </c>
      <c r="I163" s="17">
        <f t="shared" si="12"/>
        <v>622000</v>
      </c>
      <c r="J163" s="17">
        <f t="shared" si="13"/>
        <v>595000</v>
      </c>
      <c r="K163" s="17">
        <f t="shared" si="14"/>
        <v>-27000</v>
      </c>
    </row>
    <row r="164" spans="1:11">
      <c r="A164" s="14" t="str">
        <f>Employee_Data!A164</f>
        <v>EMP0163</v>
      </c>
      <c r="B164" s="15" t="str">
        <f>Employee_Data!B164</f>
        <v>Sales</v>
      </c>
      <c r="C164" s="16">
        <f>ROUND(Employee_Data!E164*1.05,-3)</f>
        <v>812000</v>
      </c>
      <c r="D164" s="16">
        <f>Employee_Data!E164</f>
        <v>773000</v>
      </c>
      <c r="E164" s="16">
        <f t="shared" si="10"/>
        <v>-39000</v>
      </c>
      <c r="F164" s="16">
        <f>ROUND(Employee_Data!G164*0.95,-3)</f>
        <v>29000</v>
      </c>
      <c r="G164" s="16">
        <f>Employee_Data!G164</f>
        <v>30000</v>
      </c>
      <c r="H164" s="16">
        <f t="shared" si="11"/>
        <v>1000</v>
      </c>
      <c r="I164" s="17">
        <f t="shared" si="12"/>
        <v>841000</v>
      </c>
      <c r="J164" s="17">
        <f t="shared" si="13"/>
        <v>803000</v>
      </c>
      <c r="K164" s="17">
        <f t="shared" si="14"/>
        <v>-38000</v>
      </c>
    </row>
    <row r="165" spans="1:11">
      <c r="A165" s="14" t="str">
        <f>Employee_Data!A165</f>
        <v>EMP0164</v>
      </c>
      <c r="B165" s="15" t="str">
        <f>Employee_Data!B165</f>
        <v>Sales</v>
      </c>
      <c r="C165" s="16">
        <f>ROUND(Employee_Data!E165*1.05,-3)</f>
        <v>964000</v>
      </c>
      <c r="D165" s="16">
        <f>Employee_Data!E165</f>
        <v>918000</v>
      </c>
      <c r="E165" s="16">
        <f t="shared" si="10"/>
        <v>-46000</v>
      </c>
      <c r="F165" s="16">
        <f>ROUND(Employee_Data!G165*0.95,-3)</f>
        <v>33000</v>
      </c>
      <c r="G165" s="16">
        <f>Employee_Data!G165</f>
        <v>35000</v>
      </c>
      <c r="H165" s="16">
        <f t="shared" si="11"/>
        <v>2000</v>
      </c>
      <c r="I165" s="17">
        <f t="shared" si="12"/>
        <v>997000</v>
      </c>
      <c r="J165" s="17">
        <f t="shared" si="13"/>
        <v>953000</v>
      </c>
      <c r="K165" s="17">
        <f t="shared" si="14"/>
        <v>-44000</v>
      </c>
    </row>
    <row r="166" spans="1:11">
      <c r="A166" s="14" t="str">
        <f>Employee_Data!A166</f>
        <v>EMP0165</v>
      </c>
      <c r="B166" s="15" t="str">
        <f>Employee_Data!B166</f>
        <v>Sales</v>
      </c>
      <c r="C166" s="16">
        <f>ROUND(Employee_Data!E166*1.05,-3)</f>
        <v>700000</v>
      </c>
      <c r="D166" s="16">
        <f>Employee_Data!E166</f>
        <v>667000</v>
      </c>
      <c r="E166" s="16">
        <f t="shared" si="10"/>
        <v>-33000</v>
      </c>
      <c r="F166" s="16">
        <f>ROUND(Employee_Data!G166*0.95,-3)</f>
        <v>17000</v>
      </c>
      <c r="G166" s="16">
        <f>Employee_Data!G166</f>
        <v>18000</v>
      </c>
      <c r="H166" s="16">
        <f t="shared" si="11"/>
        <v>1000</v>
      </c>
      <c r="I166" s="17">
        <f t="shared" si="12"/>
        <v>717000</v>
      </c>
      <c r="J166" s="17">
        <f t="shared" si="13"/>
        <v>685000</v>
      </c>
      <c r="K166" s="17">
        <f t="shared" si="14"/>
        <v>-32000</v>
      </c>
    </row>
    <row r="167" spans="1:11">
      <c r="A167" s="14" t="str">
        <f>Employee_Data!A167</f>
        <v>EMP0166</v>
      </c>
      <c r="B167" s="15" t="str">
        <f>Employee_Data!B167</f>
        <v>Sales</v>
      </c>
      <c r="C167" s="16">
        <f>ROUND(Employee_Data!E167*1.05,-3)</f>
        <v>693000</v>
      </c>
      <c r="D167" s="16">
        <f>Employee_Data!E167</f>
        <v>660000</v>
      </c>
      <c r="E167" s="16">
        <f t="shared" si="10"/>
        <v>-33000</v>
      </c>
      <c r="F167" s="16">
        <f>ROUND(Employee_Data!G167*0.95,-3)</f>
        <v>19000</v>
      </c>
      <c r="G167" s="16">
        <f>Employee_Data!G167</f>
        <v>20000</v>
      </c>
      <c r="H167" s="16">
        <f t="shared" si="11"/>
        <v>1000</v>
      </c>
      <c r="I167" s="17">
        <f t="shared" si="12"/>
        <v>712000</v>
      </c>
      <c r="J167" s="17">
        <f t="shared" si="13"/>
        <v>680000</v>
      </c>
      <c r="K167" s="17">
        <f t="shared" si="14"/>
        <v>-32000</v>
      </c>
    </row>
    <row r="168" spans="1:11">
      <c r="A168" s="14" t="str">
        <f>Employee_Data!A168</f>
        <v>EMP0167</v>
      </c>
      <c r="B168" s="15" t="str">
        <f>Employee_Data!B168</f>
        <v>Sales</v>
      </c>
      <c r="C168" s="16">
        <f>ROUND(Employee_Data!E168*1.05,-3)</f>
        <v>834000</v>
      </c>
      <c r="D168" s="16">
        <f>Employee_Data!E168</f>
        <v>794000</v>
      </c>
      <c r="E168" s="16">
        <f t="shared" si="10"/>
        <v>-40000</v>
      </c>
      <c r="F168" s="16">
        <f>ROUND(Employee_Data!G168*0.95,-3)</f>
        <v>24000</v>
      </c>
      <c r="G168" s="16">
        <f>Employee_Data!G168</f>
        <v>25000</v>
      </c>
      <c r="H168" s="16">
        <f t="shared" si="11"/>
        <v>1000</v>
      </c>
      <c r="I168" s="17">
        <f t="shared" si="12"/>
        <v>858000</v>
      </c>
      <c r="J168" s="17">
        <f t="shared" si="13"/>
        <v>819000</v>
      </c>
      <c r="K168" s="17">
        <f t="shared" si="14"/>
        <v>-39000</v>
      </c>
    </row>
    <row r="169" spans="1:11">
      <c r="A169" s="14" t="str">
        <f>Employee_Data!A169</f>
        <v>EMP0168</v>
      </c>
      <c r="B169" s="15" t="str">
        <f>Employee_Data!B169</f>
        <v>Sales</v>
      </c>
      <c r="C169" s="16">
        <f>ROUND(Employee_Data!E169*1.05,-3)</f>
        <v>931000</v>
      </c>
      <c r="D169" s="16">
        <f>Employee_Data!E169</f>
        <v>887000</v>
      </c>
      <c r="E169" s="16">
        <f t="shared" si="10"/>
        <v>-44000</v>
      </c>
      <c r="F169" s="16">
        <f>ROUND(Employee_Data!G169*0.95,-3)</f>
        <v>29000</v>
      </c>
      <c r="G169" s="16">
        <f>Employee_Data!G169</f>
        <v>30000</v>
      </c>
      <c r="H169" s="16">
        <f t="shared" si="11"/>
        <v>1000</v>
      </c>
      <c r="I169" s="17">
        <f t="shared" si="12"/>
        <v>960000</v>
      </c>
      <c r="J169" s="17">
        <f t="shared" si="13"/>
        <v>917000</v>
      </c>
      <c r="K169" s="17">
        <f t="shared" si="14"/>
        <v>-43000</v>
      </c>
    </row>
    <row r="170" spans="1:11">
      <c r="A170" s="14" t="str">
        <f>Employee_Data!A170</f>
        <v>EMP0169</v>
      </c>
      <c r="B170" s="15" t="str">
        <f>Employee_Data!B170</f>
        <v>Sales</v>
      </c>
      <c r="C170" s="16">
        <f>ROUND(Employee_Data!E170*1.05,-3)</f>
        <v>748000</v>
      </c>
      <c r="D170" s="16">
        <f>Employee_Data!E170</f>
        <v>712000</v>
      </c>
      <c r="E170" s="16">
        <f t="shared" si="10"/>
        <v>-36000</v>
      </c>
      <c r="F170" s="16">
        <f>ROUND(Employee_Data!G170*0.95,-3)</f>
        <v>14000</v>
      </c>
      <c r="G170" s="16">
        <f>Employee_Data!G170</f>
        <v>15000</v>
      </c>
      <c r="H170" s="16">
        <f t="shared" si="11"/>
        <v>1000</v>
      </c>
      <c r="I170" s="17">
        <f t="shared" si="12"/>
        <v>762000</v>
      </c>
      <c r="J170" s="17">
        <f t="shared" si="13"/>
        <v>727000</v>
      </c>
      <c r="K170" s="17">
        <f t="shared" si="14"/>
        <v>-35000</v>
      </c>
    </row>
    <row r="171" spans="1:11">
      <c r="A171" s="14" t="str">
        <f>Employee_Data!A171</f>
        <v>EMP0170</v>
      </c>
      <c r="B171" s="15" t="str">
        <f>Employee_Data!B171</f>
        <v>Sales</v>
      </c>
      <c r="C171" s="16">
        <f>ROUND(Employee_Data!E171*1.05,-3)</f>
        <v>662000</v>
      </c>
      <c r="D171" s="16">
        <f>Employee_Data!E171</f>
        <v>630000</v>
      </c>
      <c r="E171" s="16">
        <f t="shared" si="10"/>
        <v>-32000</v>
      </c>
      <c r="F171" s="16">
        <f>ROUND(Employee_Data!G171*0.95,-3)</f>
        <v>21000</v>
      </c>
      <c r="G171" s="16">
        <f>Employee_Data!G171</f>
        <v>22000</v>
      </c>
      <c r="H171" s="16">
        <f t="shared" si="11"/>
        <v>1000</v>
      </c>
      <c r="I171" s="17">
        <f t="shared" si="12"/>
        <v>683000</v>
      </c>
      <c r="J171" s="17">
        <f t="shared" si="13"/>
        <v>652000</v>
      </c>
      <c r="K171" s="17">
        <f t="shared" si="14"/>
        <v>-31000</v>
      </c>
    </row>
    <row r="172" spans="1:11">
      <c r="A172" s="14" t="str">
        <f>Employee_Data!A172</f>
        <v>EMP0171</v>
      </c>
      <c r="B172" s="15" t="str">
        <f>Employee_Data!B172</f>
        <v>Sales</v>
      </c>
      <c r="C172" s="16">
        <f>ROUND(Employee_Data!E172*1.05,-3)</f>
        <v>629000</v>
      </c>
      <c r="D172" s="16">
        <f>Employee_Data!E172</f>
        <v>599000</v>
      </c>
      <c r="E172" s="16">
        <f t="shared" si="10"/>
        <v>-30000</v>
      </c>
      <c r="F172" s="16">
        <f>ROUND(Employee_Data!G172*0.95,-3)</f>
        <v>17000</v>
      </c>
      <c r="G172" s="16">
        <f>Employee_Data!G172</f>
        <v>18000</v>
      </c>
      <c r="H172" s="16">
        <f t="shared" si="11"/>
        <v>1000</v>
      </c>
      <c r="I172" s="17">
        <f t="shared" si="12"/>
        <v>646000</v>
      </c>
      <c r="J172" s="17">
        <f t="shared" si="13"/>
        <v>617000</v>
      </c>
      <c r="K172" s="17">
        <f t="shared" si="14"/>
        <v>-29000</v>
      </c>
    </row>
    <row r="173" spans="1:11">
      <c r="A173" s="14" t="str">
        <f>Employee_Data!A173</f>
        <v>EMP0172</v>
      </c>
      <c r="B173" s="15" t="str">
        <f>Employee_Data!B173</f>
        <v>Sales</v>
      </c>
      <c r="C173" s="16">
        <f>ROUND(Employee_Data!E173*1.05,-3)</f>
        <v>981000</v>
      </c>
      <c r="D173" s="16">
        <f>Employee_Data!E173</f>
        <v>934000</v>
      </c>
      <c r="E173" s="16">
        <f t="shared" si="10"/>
        <v>-47000</v>
      </c>
      <c r="F173" s="16">
        <f>ROUND(Employee_Data!G173*0.95,-3)</f>
        <v>14000</v>
      </c>
      <c r="G173" s="16">
        <f>Employee_Data!G173</f>
        <v>15000</v>
      </c>
      <c r="H173" s="16">
        <f t="shared" si="11"/>
        <v>1000</v>
      </c>
      <c r="I173" s="17">
        <f t="shared" si="12"/>
        <v>995000</v>
      </c>
      <c r="J173" s="17">
        <f t="shared" si="13"/>
        <v>949000</v>
      </c>
      <c r="K173" s="17">
        <f t="shared" si="14"/>
        <v>-46000</v>
      </c>
    </row>
    <row r="174" spans="1:11">
      <c r="A174" s="14" t="str">
        <f>Employee_Data!A174</f>
        <v>EMP0173</v>
      </c>
      <c r="B174" s="15" t="str">
        <f>Employee_Data!B174</f>
        <v>Sales</v>
      </c>
      <c r="C174" s="16">
        <f>ROUND(Employee_Data!E174*1.05,-3)</f>
        <v>587000</v>
      </c>
      <c r="D174" s="16">
        <f>Employee_Data!E174</f>
        <v>559000</v>
      </c>
      <c r="E174" s="16">
        <f t="shared" si="10"/>
        <v>-28000</v>
      </c>
      <c r="F174" s="16">
        <f>ROUND(Employee_Data!G174*0.95,-3)</f>
        <v>19000</v>
      </c>
      <c r="G174" s="16">
        <f>Employee_Data!G174</f>
        <v>20000</v>
      </c>
      <c r="H174" s="16">
        <f t="shared" si="11"/>
        <v>1000</v>
      </c>
      <c r="I174" s="17">
        <f t="shared" si="12"/>
        <v>606000</v>
      </c>
      <c r="J174" s="17">
        <f t="shared" si="13"/>
        <v>579000</v>
      </c>
      <c r="K174" s="17">
        <f t="shared" si="14"/>
        <v>-27000</v>
      </c>
    </row>
    <row r="175" spans="1:11">
      <c r="A175" s="14" t="str">
        <f>Employee_Data!A175</f>
        <v>EMP0174</v>
      </c>
      <c r="B175" s="15" t="str">
        <f>Employee_Data!B175</f>
        <v>Sales</v>
      </c>
      <c r="C175" s="16">
        <f>ROUND(Employee_Data!E175*1.05,-3)</f>
        <v>688000</v>
      </c>
      <c r="D175" s="16">
        <f>Employee_Data!E175</f>
        <v>655000</v>
      </c>
      <c r="E175" s="16">
        <f t="shared" si="10"/>
        <v>-33000</v>
      </c>
      <c r="F175" s="16">
        <f>ROUND(Employee_Data!G175*0.95,-3)</f>
        <v>21000</v>
      </c>
      <c r="G175" s="16">
        <f>Employee_Data!G175</f>
        <v>22000</v>
      </c>
      <c r="H175" s="16">
        <f t="shared" si="11"/>
        <v>1000</v>
      </c>
      <c r="I175" s="17">
        <f t="shared" si="12"/>
        <v>709000</v>
      </c>
      <c r="J175" s="17">
        <f t="shared" si="13"/>
        <v>677000</v>
      </c>
      <c r="K175" s="17">
        <f t="shared" si="14"/>
        <v>-32000</v>
      </c>
    </row>
    <row r="176" spans="1:11">
      <c r="A176" s="14" t="str">
        <f>Employee_Data!A176</f>
        <v>EMP0175</v>
      </c>
      <c r="B176" s="15" t="str">
        <f>Employee_Data!B176</f>
        <v>Sales</v>
      </c>
      <c r="C176" s="16">
        <f>ROUND(Employee_Data!E176*1.05,-3)</f>
        <v>649000</v>
      </c>
      <c r="D176" s="16">
        <f>Employee_Data!E176</f>
        <v>618000</v>
      </c>
      <c r="E176" s="16">
        <f t="shared" si="10"/>
        <v>-31000</v>
      </c>
      <c r="F176" s="16">
        <f>ROUND(Employee_Data!G176*0.95,-3)</f>
        <v>33000</v>
      </c>
      <c r="G176" s="16">
        <f>Employee_Data!G176</f>
        <v>35000</v>
      </c>
      <c r="H176" s="16">
        <f t="shared" si="11"/>
        <v>2000</v>
      </c>
      <c r="I176" s="17">
        <f t="shared" si="12"/>
        <v>682000</v>
      </c>
      <c r="J176" s="17">
        <f t="shared" si="13"/>
        <v>653000</v>
      </c>
      <c r="K176" s="17">
        <f t="shared" si="14"/>
        <v>-29000</v>
      </c>
    </row>
    <row r="177" spans="1:11">
      <c r="A177" s="14" t="str">
        <f>Employee_Data!A177</f>
        <v>EMP0176</v>
      </c>
      <c r="B177" s="15" t="str">
        <f>Employee_Data!B177</f>
        <v>Sales</v>
      </c>
      <c r="C177" s="16">
        <f>ROUND(Employee_Data!E177*1.05,-3)</f>
        <v>678000</v>
      </c>
      <c r="D177" s="16">
        <f>Employee_Data!E177</f>
        <v>646000</v>
      </c>
      <c r="E177" s="16">
        <f t="shared" si="10"/>
        <v>-32000</v>
      </c>
      <c r="F177" s="16">
        <f>ROUND(Employee_Data!G177*0.95,-3)</f>
        <v>19000</v>
      </c>
      <c r="G177" s="16">
        <f>Employee_Data!G177</f>
        <v>20000</v>
      </c>
      <c r="H177" s="16">
        <f t="shared" si="11"/>
        <v>1000</v>
      </c>
      <c r="I177" s="17">
        <f t="shared" si="12"/>
        <v>697000</v>
      </c>
      <c r="J177" s="17">
        <f t="shared" si="13"/>
        <v>666000</v>
      </c>
      <c r="K177" s="17">
        <f t="shared" si="14"/>
        <v>-31000</v>
      </c>
    </row>
    <row r="178" spans="1:11">
      <c r="A178" s="14" t="str">
        <f>Employee_Data!A178</f>
        <v>EMP0177</v>
      </c>
      <c r="B178" s="15" t="str">
        <f>Employee_Data!B178</f>
        <v>Sales</v>
      </c>
      <c r="C178" s="16">
        <f>ROUND(Employee_Data!E178*1.05,-3)</f>
        <v>1290000</v>
      </c>
      <c r="D178" s="16">
        <f>Employee_Data!E178</f>
        <v>1229000</v>
      </c>
      <c r="E178" s="16">
        <f t="shared" si="10"/>
        <v>-61000</v>
      </c>
      <c r="F178" s="16">
        <f>ROUND(Employee_Data!G178*0.95,-3)</f>
        <v>29000</v>
      </c>
      <c r="G178" s="16">
        <f>Employee_Data!G178</f>
        <v>30000</v>
      </c>
      <c r="H178" s="16">
        <f t="shared" si="11"/>
        <v>1000</v>
      </c>
      <c r="I178" s="17">
        <f t="shared" si="12"/>
        <v>1319000</v>
      </c>
      <c r="J178" s="17">
        <f t="shared" si="13"/>
        <v>1259000</v>
      </c>
      <c r="K178" s="17">
        <f t="shared" si="14"/>
        <v>-60000</v>
      </c>
    </row>
    <row r="179" spans="1:11">
      <c r="A179" s="14" t="str">
        <f>Employee_Data!A179</f>
        <v>EMP0178</v>
      </c>
      <c r="B179" s="15" t="str">
        <f>Employee_Data!B179</f>
        <v>Sales</v>
      </c>
      <c r="C179" s="16">
        <f>ROUND(Employee_Data!E179*1.05,-3)</f>
        <v>659000</v>
      </c>
      <c r="D179" s="16">
        <f>Employee_Data!E179</f>
        <v>628000</v>
      </c>
      <c r="E179" s="16">
        <f t="shared" si="10"/>
        <v>-31000</v>
      </c>
      <c r="F179" s="16">
        <f>ROUND(Employee_Data!G179*0.95,-3)</f>
        <v>33000</v>
      </c>
      <c r="G179" s="16">
        <f>Employee_Data!G179</f>
        <v>35000</v>
      </c>
      <c r="H179" s="16">
        <f t="shared" si="11"/>
        <v>2000</v>
      </c>
      <c r="I179" s="17">
        <f t="shared" si="12"/>
        <v>692000</v>
      </c>
      <c r="J179" s="17">
        <f t="shared" si="13"/>
        <v>663000</v>
      </c>
      <c r="K179" s="17">
        <f t="shared" si="14"/>
        <v>-29000</v>
      </c>
    </row>
    <row r="180" spans="1:11">
      <c r="A180" s="14" t="str">
        <f>Employee_Data!A180</f>
        <v>EMP0179</v>
      </c>
      <c r="B180" s="15" t="str">
        <f>Employee_Data!B180</f>
        <v>Sales</v>
      </c>
      <c r="C180" s="16">
        <f>ROUND(Employee_Data!E180*1.05,-3)</f>
        <v>616000</v>
      </c>
      <c r="D180" s="16">
        <f>Employee_Data!E180</f>
        <v>587000</v>
      </c>
      <c r="E180" s="16">
        <f t="shared" si="10"/>
        <v>-29000</v>
      </c>
      <c r="F180" s="16">
        <f>ROUND(Employee_Data!G180*0.95,-3)</f>
        <v>24000</v>
      </c>
      <c r="G180" s="16">
        <f>Employee_Data!G180</f>
        <v>25000</v>
      </c>
      <c r="H180" s="16">
        <f t="shared" si="11"/>
        <v>1000</v>
      </c>
      <c r="I180" s="17">
        <f t="shared" si="12"/>
        <v>640000</v>
      </c>
      <c r="J180" s="17">
        <f t="shared" si="13"/>
        <v>612000</v>
      </c>
      <c r="K180" s="17">
        <f t="shared" si="14"/>
        <v>-28000</v>
      </c>
    </row>
    <row r="181" spans="1:11">
      <c r="A181" s="14" t="str">
        <f>Employee_Data!A181</f>
        <v>EMP0180</v>
      </c>
      <c r="B181" s="15" t="str">
        <f>Employee_Data!B181</f>
        <v>Sales</v>
      </c>
      <c r="C181" s="16">
        <f>ROUND(Employee_Data!E181*1.05,-3)</f>
        <v>881000</v>
      </c>
      <c r="D181" s="16">
        <f>Employee_Data!E181</f>
        <v>839000</v>
      </c>
      <c r="E181" s="16">
        <f t="shared" si="10"/>
        <v>-42000</v>
      </c>
      <c r="F181" s="16">
        <f>ROUND(Employee_Data!G181*0.95,-3)</f>
        <v>14000</v>
      </c>
      <c r="G181" s="16">
        <f>Employee_Data!G181</f>
        <v>15000</v>
      </c>
      <c r="H181" s="16">
        <f t="shared" si="11"/>
        <v>1000</v>
      </c>
      <c r="I181" s="17">
        <f t="shared" si="12"/>
        <v>895000</v>
      </c>
      <c r="J181" s="17">
        <f t="shared" si="13"/>
        <v>854000</v>
      </c>
      <c r="K181" s="17">
        <f t="shared" si="14"/>
        <v>-41000</v>
      </c>
    </row>
    <row r="182" spans="1:11">
      <c r="A182" s="14" t="str">
        <f>Employee_Data!A182</f>
        <v>EMP0181</v>
      </c>
      <c r="B182" s="15" t="str">
        <f>Employee_Data!B182</f>
        <v>Sales</v>
      </c>
      <c r="C182" s="16">
        <f>ROUND(Employee_Data!E182*1.05,-3)</f>
        <v>967000</v>
      </c>
      <c r="D182" s="16">
        <f>Employee_Data!E182</f>
        <v>921000</v>
      </c>
      <c r="E182" s="16">
        <f t="shared" si="10"/>
        <v>-46000</v>
      </c>
      <c r="F182" s="16">
        <f>ROUND(Employee_Data!G182*0.95,-3)</f>
        <v>21000</v>
      </c>
      <c r="G182" s="16">
        <f>Employee_Data!G182</f>
        <v>22000</v>
      </c>
      <c r="H182" s="16">
        <f t="shared" si="11"/>
        <v>1000</v>
      </c>
      <c r="I182" s="17">
        <f t="shared" si="12"/>
        <v>988000</v>
      </c>
      <c r="J182" s="17">
        <f t="shared" si="13"/>
        <v>943000</v>
      </c>
      <c r="K182" s="17">
        <f t="shared" si="14"/>
        <v>-45000</v>
      </c>
    </row>
    <row r="183" spans="1:11">
      <c r="A183" s="14" t="str">
        <f>Employee_Data!A183</f>
        <v>EMP0182</v>
      </c>
      <c r="B183" s="15" t="str">
        <f>Employee_Data!B183</f>
        <v>Sales</v>
      </c>
      <c r="C183" s="16">
        <f>ROUND(Employee_Data!E183*1.05,-3)</f>
        <v>655000</v>
      </c>
      <c r="D183" s="16">
        <f>Employee_Data!E183</f>
        <v>624000</v>
      </c>
      <c r="E183" s="16">
        <f t="shared" si="10"/>
        <v>-31000</v>
      </c>
      <c r="F183" s="16">
        <f>ROUND(Employee_Data!G183*0.95,-3)</f>
        <v>19000</v>
      </c>
      <c r="G183" s="16">
        <f>Employee_Data!G183</f>
        <v>20000</v>
      </c>
      <c r="H183" s="16">
        <f t="shared" si="11"/>
        <v>1000</v>
      </c>
      <c r="I183" s="17">
        <f t="shared" si="12"/>
        <v>674000</v>
      </c>
      <c r="J183" s="17">
        <f t="shared" si="13"/>
        <v>644000</v>
      </c>
      <c r="K183" s="17">
        <f t="shared" si="14"/>
        <v>-30000</v>
      </c>
    </row>
    <row r="184" spans="1:11">
      <c r="A184" s="14" t="str">
        <f>Employee_Data!A184</f>
        <v>EMP0183</v>
      </c>
      <c r="B184" s="15" t="str">
        <f>Employee_Data!B184</f>
        <v>Sales</v>
      </c>
      <c r="C184" s="16">
        <f>ROUND(Employee_Data!E184*1.05,-3)</f>
        <v>1203000</v>
      </c>
      <c r="D184" s="16">
        <f>Employee_Data!E184</f>
        <v>1146000</v>
      </c>
      <c r="E184" s="16">
        <f t="shared" si="10"/>
        <v>-57000</v>
      </c>
      <c r="F184" s="16">
        <f>ROUND(Employee_Data!G184*0.95,-3)</f>
        <v>33000</v>
      </c>
      <c r="G184" s="16">
        <f>Employee_Data!G184</f>
        <v>35000</v>
      </c>
      <c r="H184" s="16">
        <f t="shared" si="11"/>
        <v>2000</v>
      </c>
      <c r="I184" s="17">
        <f t="shared" si="12"/>
        <v>1236000</v>
      </c>
      <c r="J184" s="17">
        <f t="shared" si="13"/>
        <v>1181000</v>
      </c>
      <c r="K184" s="17">
        <f t="shared" si="14"/>
        <v>-55000</v>
      </c>
    </row>
    <row r="185" spans="1:11">
      <c r="A185" s="14" t="str">
        <f>Employee_Data!A185</f>
        <v>EMP0184</v>
      </c>
      <c r="B185" s="15" t="str">
        <f>Employee_Data!B185</f>
        <v>Sales</v>
      </c>
      <c r="C185" s="16">
        <f>ROUND(Employee_Data!E185*1.05,-3)</f>
        <v>585000</v>
      </c>
      <c r="D185" s="16">
        <f>Employee_Data!E185</f>
        <v>557000</v>
      </c>
      <c r="E185" s="16">
        <f t="shared" si="10"/>
        <v>-28000</v>
      </c>
      <c r="F185" s="16">
        <f>ROUND(Employee_Data!G185*0.95,-3)</f>
        <v>27000</v>
      </c>
      <c r="G185" s="16">
        <f>Employee_Data!G185</f>
        <v>28000</v>
      </c>
      <c r="H185" s="16">
        <f t="shared" si="11"/>
        <v>1000</v>
      </c>
      <c r="I185" s="17">
        <f t="shared" si="12"/>
        <v>612000</v>
      </c>
      <c r="J185" s="17">
        <f t="shared" si="13"/>
        <v>585000</v>
      </c>
      <c r="K185" s="17">
        <f t="shared" si="14"/>
        <v>-27000</v>
      </c>
    </row>
    <row r="186" spans="1:11">
      <c r="A186" s="14" t="str">
        <f>Employee_Data!A186</f>
        <v>EMP0185</v>
      </c>
      <c r="B186" s="15" t="str">
        <f>Employee_Data!B186</f>
        <v>Sales</v>
      </c>
      <c r="C186" s="16">
        <f>ROUND(Employee_Data!E186*1.05,-3)</f>
        <v>585000</v>
      </c>
      <c r="D186" s="16">
        <f>Employee_Data!E186</f>
        <v>557000</v>
      </c>
      <c r="E186" s="16">
        <f t="shared" si="10"/>
        <v>-28000</v>
      </c>
      <c r="F186" s="16">
        <f>ROUND(Employee_Data!G186*0.95,-3)</f>
        <v>27000</v>
      </c>
      <c r="G186" s="16">
        <f>Employee_Data!G186</f>
        <v>28000</v>
      </c>
      <c r="H186" s="16">
        <f t="shared" si="11"/>
        <v>1000</v>
      </c>
      <c r="I186" s="17">
        <f t="shared" si="12"/>
        <v>612000</v>
      </c>
      <c r="J186" s="17">
        <f t="shared" si="13"/>
        <v>585000</v>
      </c>
      <c r="K186" s="17">
        <f t="shared" si="14"/>
        <v>-27000</v>
      </c>
    </row>
    <row r="187" spans="1:11">
      <c r="A187" s="14" t="str">
        <f>Employee_Data!A187</f>
        <v>EMP0186</v>
      </c>
      <c r="B187" s="15" t="str">
        <f>Employee_Data!B187</f>
        <v>Sales</v>
      </c>
      <c r="C187" s="16">
        <f>ROUND(Employee_Data!E187*1.05,-3)</f>
        <v>1251000</v>
      </c>
      <c r="D187" s="16">
        <f>Employee_Data!E187</f>
        <v>1191000</v>
      </c>
      <c r="E187" s="16">
        <f t="shared" si="10"/>
        <v>-60000</v>
      </c>
      <c r="F187" s="16">
        <f>ROUND(Employee_Data!G187*0.95,-3)</f>
        <v>33000</v>
      </c>
      <c r="G187" s="16">
        <f>Employee_Data!G187</f>
        <v>35000</v>
      </c>
      <c r="H187" s="16">
        <f t="shared" si="11"/>
        <v>2000</v>
      </c>
      <c r="I187" s="17">
        <f t="shared" si="12"/>
        <v>1284000</v>
      </c>
      <c r="J187" s="17">
        <f t="shared" si="13"/>
        <v>1226000</v>
      </c>
      <c r="K187" s="17">
        <f t="shared" si="14"/>
        <v>-58000</v>
      </c>
    </row>
    <row r="188" spans="1:11">
      <c r="A188" s="14" t="str">
        <f>Employee_Data!A188</f>
        <v>EMP0187</v>
      </c>
      <c r="B188" s="15" t="str">
        <f>Employee_Data!B188</f>
        <v>Sales</v>
      </c>
      <c r="C188" s="16">
        <f>ROUND(Employee_Data!E188*1.05,-3)</f>
        <v>688000</v>
      </c>
      <c r="D188" s="16">
        <f>Employee_Data!E188</f>
        <v>655000</v>
      </c>
      <c r="E188" s="16">
        <f t="shared" si="10"/>
        <v>-33000</v>
      </c>
      <c r="F188" s="16">
        <f>ROUND(Employee_Data!G188*0.95,-3)</f>
        <v>33000</v>
      </c>
      <c r="G188" s="16">
        <f>Employee_Data!G188</f>
        <v>35000</v>
      </c>
      <c r="H188" s="16">
        <f t="shared" si="11"/>
        <v>2000</v>
      </c>
      <c r="I188" s="17">
        <f t="shared" si="12"/>
        <v>721000</v>
      </c>
      <c r="J188" s="17">
        <f t="shared" si="13"/>
        <v>690000</v>
      </c>
      <c r="K188" s="17">
        <f t="shared" si="14"/>
        <v>-31000</v>
      </c>
    </row>
    <row r="189" spans="1:11">
      <c r="A189" s="14" t="str">
        <f>Employee_Data!A189</f>
        <v>EMP0188</v>
      </c>
      <c r="B189" s="15" t="str">
        <f>Employee_Data!B189</f>
        <v>Sales</v>
      </c>
      <c r="C189" s="16">
        <f>ROUND(Employee_Data!E189*1.05,-3)</f>
        <v>701000</v>
      </c>
      <c r="D189" s="16">
        <f>Employee_Data!E189</f>
        <v>668000</v>
      </c>
      <c r="E189" s="16">
        <f t="shared" si="10"/>
        <v>-33000</v>
      </c>
      <c r="F189" s="16">
        <f>ROUND(Employee_Data!G189*0.95,-3)</f>
        <v>29000</v>
      </c>
      <c r="G189" s="16">
        <f>Employee_Data!G189</f>
        <v>30000</v>
      </c>
      <c r="H189" s="16">
        <f t="shared" si="11"/>
        <v>1000</v>
      </c>
      <c r="I189" s="17">
        <f t="shared" si="12"/>
        <v>730000</v>
      </c>
      <c r="J189" s="17">
        <f t="shared" si="13"/>
        <v>698000</v>
      </c>
      <c r="K189" s="17">
        <f t="shared" si="14"/>
        <v>-32000</v>
      </c>
    </row>
    <row r="190" spans="1:11">
      <c r="A190" s="14" t="str">
        <f>Employee_Data!A190</f>
        <v>EMP0189</v>
      </c>
      <c r="B190" s="15" t="str">
        <f>Employee_Data!B190</f>
        <v>Sales</v>
      </c>
      <c r="C190" s="16">
        <f>ROUND(Employee_Data!E190*1.05,-3)</f>
        <v>875000</v>
      </c>
      <c r="D190" s="16">
        <f>Employee_Data!E190</f>
        <v>833000</v>
      </c>
      <c r="E190" s="16">
        <f t="shared" si="10"/>
        <v>-42000</v>
      </c>
      <c r="F190" s="16">
        <f>ROUND(Employee_Data!G190*0.95,-3)</f>
        <v>14000</v>
      </c>
      <c r="G190" s="16">
        <f>Employee_Data!G190</f>
        <v>15000</v>
      </c>
      <c r="H190" s="16">
        <f t="shared" si="11"/>
        <v>1000</v>
      </c>
      <c r="I190" s="17">
        <f t="shared" si="12"/>
        <v>889000</v>
      </c>
      <c r="J190" s="17">
        <f t="shared" si="13"/>
        <v>848000</v>
      </c>
      <c r="K190" s="17">
        <f t="shared" si="14"/>
        <v>-41000</v>
      </c>
    </row>
    <row r="191" spans="1:11">
      <c r="A191" s="14" t="str">
        <f>Employee_Data!A191</f>
        <v>EMP0190</v>
      </c>
      <c r="B191" s="15" t="str">
        <f>Employee_Data!B191</f>
        <v>Sales</v>
      </c>
      <c r="C191" s="16">
        <f>ROUND(Employee_Data!E191*1.05,-3)</f>
        <v>618000</v>
      </c>
      <c r="D191" s="16">
        <f>Employee_Data!E191</f>
        <v>589000</v>
      </c>
      <c r="E191" s="16">
        <f t="shared" si="10"/>
        <v>-29000</v>
      </c>
      <c r="F191" s="16">
        <f>ROUND(Employee_Data!G191*0.95,-3)</f>
        <v>24000</v>
      </c>
      <c r="G191" s="16">
        <f>Employee_Data!G191</f>
        <v>25000</v>
      </c>
      <c r="H191" s="16">
        <f t="shared" si="11"/>
        <v>1000</v>
      </c>
      <c r="I191" s="17">
        <f t="shared" si="12"/>
        <v>642000</v>
      </c>
      <c r="J191" s="17">
        <f t="shared" si="13"/>
        <v>614000</v>
      </c>
      <c r="K191" s="17">
        <f t="shared" si="14"/>
        <v>-28000</v>
      </c>
    </row>
    <row r="192" spans="1:11">
      <c r="A192" s="14" t="str">
        <f>Employee_Data!A192</f>
        <v>EMP0191</v>
      </c>
      <c r="B192" s="15" t="str">
        <f>Employee_Data!B192</f>
        <v>Sales</v>
      </c>
      <c r="C192" s="16">
        <f>ROUND(Employee_Data!E192*1.05,-3)</f>
        <v>988000</v>
      </c>
      <c r="D192" s="16">
        <f>Employee_Data!E192</f>
        <v>941000</v>
      </c>
      <c r="E192" s="16">
        <f t="shared" si="10"/>
        <v>-47000</v>
      </c>
      <c r="F192" s="16">
        <f>ROUND(Employee_Data!G192*0.95,-3)</f>
        <v>21000</v>
      </c>
      <c r="G192" s="16">
        <f>Employee_Data!G192</f>
        <v>22000</v>
      </c>
      <c r="H192" s="16">
        <f t="shared" si="11"/>
        <v>1000</v>
      </c>
      <c r="I192" s="17">
        <f t="shared" si="12"/>
        <v>1009000</v>
      </c>
      <c r="J192" s="17">
        <f t="shared" si="13"/>
        <v>963000</v>
      </c>
      <c r="K192" s="17">
        <f t="shared" si="14"/>
        <v>-46000</v>
      </c>
    </row>
    <row r="193" spans="1:11">
      <c r="A193" s="14" t="str">
        <f>Employee_Data!A193</f>
        <v>EMP0192</v>
      </c>
      <c r="B193" s="15" t="str">
        <f>Employee_Data!B193</f>
        <v>Sales</v>
      </c>
      <c r="C193" s="16">
        <f>ROUND(Employee_Data!E193*1.05,-3)</f>
        <v>756000</v>
      </c>
      <c r="D193" s="16">
        <f>Employee_Data!E193</f>
        <v>720000</v>
      </c>
      <c r="E193" s="16">
        <f t="shared" si="10"/>
        <v>-36000</v>
      </c>
      <c r="F193" s="16">
        <f>ROUND(Employee_Data!G193*0.95,-3)</f>
        <v>21000</v>
      </c>
      <c r="G193" s="16">
        <f>Employee_Data!G193</f>
        <v>22000</v>
      </c>
      <c r="H193" s="16">
        <f t="shared" si="11"/>
        <v>1000</v>
      </c>
      <c r="I193" s="17">
        <f t="shared" si="12"/>
        <v>777000</v>
      </c>
      <c r="J193" s="17">
        <f t="shared" si="13"/>
        <v>742000</v>
      </c>
      <c r="K193" s="17">
        <f t="shared" si="14"/>
        <v>-35000</v>
      </c>
    </row>
    <row r="194" spans="1:11">
      <c r="A194" s="14" t="str">
        <f>Employee_Data!A194</f>
        <v>EMP0193</v>
      </c>
      <c r="B194" s="15" t="str">
        <f>Employee_Data!B194</f>
        <v>Sales</v>
      </c>
      <c r="C194" s="16">
        <f>ROUND(Employee_Data!E194*1.05,-3)</f>
        <v>684000</v>
      </c>
      <c r="D194" s="16">
        <f>Employee_Data!E194</f>
        <v>651000</v>
      </c>
      <c r="E194" s="16">
        <f t="shared" si="10"/>
        <v>-33000</v>
      </c>
      <c r="F194" s="16">
        <f>ROUND(Employee_Data!G194*0.95,-3)</f>
        <v>29000</v>
      </c>
      <c r="G194" s="16">
        <f>Employee_Data!G194</f>
        <v>30000</v>
      </c>
      <c r="H194" s="16">
        <f t="shared" si="11"/>
        <v>1000</v>
      </c>
      <c r="I194" s="17">
        <f t="shared" si="12"/>
        <v>713000</v>
      </c>
      <c r="J194" s="17">
        <f t="shared" si="13"/>
        <v>681000</v>
      </c>
      <c r="K194" s="17">
        <f t="shared" si="14"/>
        <v>-32000</v>
      </c>
    </row>
    <row r="195" spans="1:11">
      <c r="A195" s="14" t="str">
        <f>Employee_Data!A195</f>
        <v>EMP0194</v>
      </c>
      <c r="B195" s="15" t="str">
        <f>Employee_Data!B195</f>
        <v>Sales</v>
      </c>
      <c r="C195" s="16">
        <f>ROUND(Employee_Data!E195*1.05,-3)</f>
        <v>572000</v>
      </c>
      <c r="D195" s="16">
        <f>Employee_Data!E195</f>
        <v>545000</v>
      </c>
      <c r="E195" s="16">
        <f t="shared" ref="E195:E258" si="15">D195-C195</f>
        <v>-27000</v>
      </c>
      <c r="F195" s="16">
        <f>ROUND(Employee_Data!G195*0.95,-3)</f>
        <v>17000</v>
      </c>
      <c r="G195" s="16">
        <f>Employee_Data!G195</f>
        <v>18000</v>
      </c>
      <c r="H195" s="16">
        <f t="shared" ref="H195:H258" si="16">G195-F195</f>
        <v>1000</v>
      </c>
      <c r="I195" s="17">
        <f t="shared" ref="I195:I258" si="17">C195+F195</f>
        <v>589000</v>
      </c>
      <c r="J195" s="17">
        <f t="shared" ref="J195:J258" si="18">D195+G195</f>
        <v>563000</v>
      </c>
      <c r="K195" s="17">
        <f t="shared" ref="K195:K258" si="19">J195-I195</f>
        <v>-26000</v>
      </c>
    </row>
    <row r="196" spans="1:11">
      <c r="A196" s="14" t="str">
        <f>Employee_Data!A196</f>
        <v>EMP0195</v>
      </c>
      <c r="B196" s="15" t="str">
        <f>Employee_Data!B196</f>
        <v>Sales</v>
      </c>
      <c r="C196" s="16">
        <f>ROUND(Employee_Data!E196*1.05,-3)</f>
        <v>1074000</v>
      </c>
      <c r="D196" s="16">
        <f>Employee_Data!E196</f>
        <v>1023000</v>
      </c>
      <c r="E196" s="16">
        <f t="shared" si="15"/>
        <v>-51000</v>
      </c>
      <c r="F196" s="16">
        <f>ROUND(Employee_Data!G196*0.95,-3)</f>
        <v>29000</v>
      </c>
      <c r="G196" s="16">
        <f>Employee_Data!G196</f>
        <v>30000</v>
      </c>
      <c r="H196" s="16">
        <f t="shared" si="16"/>
        <v>1000</v>
      </c>
      <c r="I196" s="17">
        <f t="shared" si="17"/>
        <v>1103000</v>
      </c>
      <c r="J196" s="17">
        <f t="shared" si="18"/>
        <v>1053000</v>
      </c>
      <c r="K196" s="17">
        <f t="shared" si="19"/>
        <v>-50000</v>
      </c>
    </row>
    <row r="197" spans="1:11">
      <c r="A197" s="14" t="str">
        <f>Employee_Data!A197</f>
        <v>EMP0196</v>
      </c>
      <c r="B197" s="15" t="str">
        <f>Employee_Data!B197</f>
        <v>Sales</v>
      </c>
      <c r="C197" s="16">
        <f>ROUND(Employee_Data!E197*1.05,-3)</f>
        <v>978000</v>
      </c>
      <c r="D197" s="16">
        <f>Employee_Data!E197</f>
        <v>931000</v>
      </c>
      <c r="E197" s="16">
        <f t="shared" si="15"/>
        <v>-47000</v>
      </c>
      <c r="F197" s="16">
        <f>ROUND(Employee_Data!G197*0.95,-3)</f>
        <v>33000</v>
      </c>
      <c r="G197" s="16">
        <f>Employee_Data!G197</f>
        <v>35000</v>
      </c>
      <c r="H197" s="16">
        <f t="shared" si="16"/>
        <v>2000</v>
      </c>
      <c r="I197" s="17">
        <f t="shared" si="17"/>
        <v>1011000</v>
      </c>
      <c r="J197" s="17">
        <f t="shared" si="18"/>
        <v>966000</v>
      </c>
      <c r="K197" s="17">
        <f t="shared" si="19"/>
        <v>-45000</v>
      </c>
    </row>
    <row r="198" spans="1:11">
      <c r="A198" s="14" t="str">
        <f>Employee_Data!A198</f>
        <v>EMP0197</v>
      </c>
      <c r="B198" s="15" t="str">
        <f>Employee_Data!B198</f>
        <v>Sales</v>
      </c>
      <c r="C198" s="16">
        <f>ROUND(Employee_Data!E198*1.05,-3)</f>
        <v>1111000</v>
      </c>
      <c r="D198" s="16">
        <f>Employee_Data!E198</f>
        <v>1058000</v>
      </c>
      <c r="E198" s="16">
        <f t="shared" si="15"/>
        <v>-53000</v>
      </c>
      <c r="F198" s="16">
        <f>ROUND(Employee_Data!G198*0.95,-3)</f>
        <v>21000</v>
      </c>
      <c r="G198" s="16">
        <f>Employee_Data!G198</f>
        <v>22000</v>
      </c>
      <c r="H198" s="16">
        <f t="shared" si="16"/>
        <v>1000</v>
      </c>
      <c r="I198" s="17">
        <f t="shared" si="17"/>
        <v>1132000</v>
      </c>
      <c r="J198" s="17">
        <f t="shared" si="18"/>
        <v>1080000</v>
      </c>
      <c r="K198" s="17">
        <f t="shared" si="19"/>
        <v>-52000</v>
      </c>
    </row>
    <row r="199" spans="1:11">
      <c r="A199" s="14" t="str">
        <f>Employee_Data!A199</f>
        <v>EMP0198</v>
      </c>
      <c r="B199" s="15" t="str">
        <f>Employee_Data!B199</f>
        <v>Sales</v>
      </c>
      <c r="C199" s="16">
        <f>ROUND(Employee_Data!E199*1.05,-3)</f>
        <v>1257000</v>
      </c>
      <c r="D199" s="16">
        <f>Employee_Data!E199</f>
        <v>1197000</v>
      </c>
      <c r="E199" s="16">
        <f t="shared" si="15"/>
        <v>-60000</v>
      </c>
      <c r="F199" s="16">
        <f>ROUND(Employee_Data!G199*0.95,-3)</f>
        <v>27000</v>
      </c>
      <c r="G199" s="16">
        <f>Employee_Data!G199</f>
        <v>28000</v>
      </c>
      <c r="H199" s="16">
        <f t="shared" si="16"/>
        <v>1000</v>
      </c>
      <c r="I199" s="17">
        <f t="shared" si="17"/>
        <v>1284000</v>
      </c>
      <c r="J199" s="17">
        <f t="shared" si="18"/>
        <v>1225000</v>
      </c>
      <c r="K199" s="17">
        <f t="shared" si="19"/>
        <v>-59000</v>
      </c>
    </row>
    <row r="200" spans="1:11">
      <c r="A200" s="14" t="str">
        <f>Employee_Data!A200</f>
        <v>EMP0199</v>
      </c>
      <c r="B200" s="15" t="str">
        <f>Employee_Data!B200</f>
        <v>Sales</v>
      </c>
      <c r="C200" s="16">
        <f>ROUND(Employee_Data!E200*1.05,-3)</f>
        <v>1285000</v>
      </c>
      <c r="D200" s="16">
        <f>Employee_Data!E200</f>
        <v>1224000</v>
      </c>
      <c r="E200" s="16">
        <f t="shared" si="15"/>
        <v>-61000</v>
      </c>
      <c r="F200" s="16">
        <f>ROUND(Employee_Data!G200*0.95,-3)</f>
        <v>21000</v>
      </c>
      <c r="G200" s="16">
        <f>Employee_Data!G200</f>
        <v>22000</v>
      </c>
      <c r="H200" s="16">
        <f t="shared" si="16"/>
        <v>1000</v>
      </c>
      <c r="I200" s="17">
        <f t="shared" si="17"/>
        <v>1306000</v>
      </c>
      <c r="J200" s="17">
        <f t="shared" si="18"/>
        <v>1246000</v>
      </c>
      <c r="K200" s="17">
        <f t="shared" si="19"/>
        <v>-60000</v>
      </c>
    </row>
    <row r="201" spans="1:11">
      <c r="A201" s="14" t="str">
        <f>Employee_Data!A201</f>
        <v>EMP0200</v>
      </c>
      <c r="B201" s="15" t="str">
        <f>Employee_Data!B201</f>
        <v>Sales</v>
      </c>
      <c r="C201" s="16">
        <f>ROUND(Employee_Data!E201*1.05,-3)</f>
        <v>1248000</v>
      </c>
      <c r="D201" s="16">
        <f>Employee_Data!E201</f>
        <v>1189000</v>
      </c>
      <c r="E201" s="16">
        <f t="shared" si="15"/>
        <v>-59000</v>
      </c>
      <c r="F201" s="16">
        <f>ROUND(Employee_Data!G201*0.95,-3)</f>
        <v>21000</v>
      </c>
      <c r="G201" s="16">
        <f>Employee_Data!G201</f>
        <v>22000</v>
      </c>
      <c r="H201" s="16">
        <f t="shared" si="16"/>
        <v>1000</v>
      </c>
      <c r="I201" s="17">
        <f t="shared" si="17"/>
        <v>1269000</v>
      </c>
      <c r="J201" s="17">
        <f t="shared" si="18"/>
        <v>1211000</v>
      </c>
      <c r="K201" s="17">
        <f t="shared" si="19"/>
        <v>-58000</v>
      </c>
    </row>
    <row r="202" spans="1:11">
      <c r="A202" s="14" t="str">
        <f>Employee_Data!A202</f>
        <v>EMP0201</v>
      </c>
      <c r="B202" s="15" t="str">
        <f>Employee_Data!B202</f>
        <v>Sales</v>
      </c>
      <c r="C202" s="16">
        <f>ROUND(Employee_Data!E202*1.05,-3)</f>
        <v>617000</v>
      </c>
      <c r="D202" s="16">
        <f>Employee_Data!E202</f>
        <v>588000</v>
      </c>
      <c r="E202" s="16">
        <f t="shared" si="15"/>
        <v>-29000</v>
      </c>
      <c r="F202" s="16">
        <f>ROUND(Employee_Data!G202*0.95,-3)</f>
        <v>21000</v>
      </c>
      <c r="G202" s="16">
        <f>Employee_Data!G202</f>
        <v>22000</v>
      </c>
      <c r="H202" s="16">
        <f t="shared" si="16"/>
        <v>1000</v>
      </c>
      <c r="I202" s="17">
        <f t="shared" si="17"/>
        <v>638000</v>
      </c>
      <c r="J202" s="17">
        <f t="shared" si="18"/>
        <v>610000</v>
      </c>
      <c r="K202" s="17">
        <f t="shared" si="19"/>
        <v>-28000</v>
      </c>
    </row>
    <row r="203" spans="1:11">
      <c r="A203" s="14" t="str">
        <f>Employee_Data!A203</f>
        <v>EMP0202</v>
      </c>
      <c r="B203" s="15" t="str">
        <f>Employee_Data!B203</f>
        <v>Sales</v>
      </c>
      <c r="C203" s="16">
        <f>ROUND(Employee_Data!E203*1.05,-3)</f>
        <v>843000</v>
      </c>
      <c r="D203" s="16">
        <f>Employee_Data!E203</f>
        <v>803000</v>
      </c>
      <c r="E203" s="16">
        <f t="shared" si="15"/>
        <v>-40000</v>
      </c>
      <c r="F203" s="16">
        <f>ROUND(Employee_Data!G203*0.95,-3)</f>
        <v>21000</v>
      </c>
      <c r="G203" s="16">
        <f>Employee_Data!G203</f>
        <v>22000</v>
      </c>
      <c r="H203" s="16">
        <f t="shared" si="16"/>
        <v>1000</v>
      </c>
      <c r="I203" s="17">
        <f t="shared" si="17"/>
        <v>864000</v>
      </c>
      <c r="J203" s="17">
        <f t="shared" si="18"/>
        <v>825000</v>
      </c>
      <c r="K203" s="17">
        <f t="shared" si="19"/>
        <v>-39000</v>
      </c>
    </row>
    <row r="204" spans="1:11">
      <c r="A204" s="14" t="str">
        <f>Employee_Data!A204</f>
        <v>EMP0203</v>
      </c>
      <c r="B204" s="15" t="str">
        <f>Employee_Data!B204</f>
        <v>Sales</v>
      </c>
      <c r="C204" s="16">
        <f>ROUND(Employee_Data!E204*1.05,-3)</f>
        <v>849000</v>
      </c>
      <c r="D204" s="16">
        <f>Employee_Data!E204</f>
        <v>809000</v>
      </c>
      <c r="E204" s="16">
        <f t="shared" si="15"/>
        <v>-40000</v>
      </c>
      <c r="F204" s="16">
        <f>ROUND(Employee_Data!G204*0.95,-3)</f>
        <v>14000</v>
      </c>
      <c r="G204" s="16">
        <f>Employee_Data!G204</f>
        <v>15000</v>
      </c>
      <c r="H204" s="16">
        <f t="shared" si="16"/>
        <v>1000</v>
      </c>
      <c r="I204" s="17">
        <f t="shared" si="17"/>
        <v>863000</v>
      </c>
      <c r="J204" s="17">
        <f t="shared" si="18"/>
        <v>824000</v>
      </c>
      <c r="K204" s="17">
        <f t="shared" si="19"/>
        <v>-39000</v>
      </c>
    </row>
    <row r="205" spans="1:11">
      <c r="A205" s="14" t="str">
        <f>Employee_Data!A205</f>
        <v>EMP0204</v>
      </c>
      <c r="B205" s="15" t="str">
        <f>Employee_Data!B205</f>
        <v>Sales</v>
      </c>
      <c r="C205" s="16">
        <f>ROUND(Employee_Data!E205*1.05,-3)</f>
        <v>1467000</v>
      </c>
      <c r="D205" s="16">
        <f>Employee_Data!E205</f>
        <v>1397000</v>
      </c>
      <c r="E205" s="16">
        <f t="shared" si="15"/>
        <v>-70000</v>
      </c>
      <c r="F205" s="16">
        <f>ROUND(Employee_Data!G205*0.95,-3)</f>
        <v>19000</v>
      </c>
      <c r="G205" s="16">
        <f>Employee_Data!G205</f>
        <v>20000</v>
      </c>
      <c r="H205" s="16">
        <f t="shared" si="16"/>
        <v>1000</v>
      </c>
      <c r="I205" s="17">
        <f t="shared" si="17"/>
        <v>1486000</v>
      </c>
      <c r="J205" s="17">
        <f t="shared" si="18"/>
        <v>1417000</v>
      </c>
      <c r="K205" s="17">
        <f t="shared" si="19"/>
        <v>-69000</v>
      </c>
    </row>
    <row r="206" spans="1:11">
      <c r="A206" s="14" t="str">
        <f>Employee_Data!A206</f>
        <v>EMP0205</v>
      </c>
      <c r="B206" s="15" t="str">
        <f>Employee_Data!B206</f>
        <v>Sales</v>
      </c>
      <c r="C206" s="16">
        <f>ROUND(Employee_Data!E206*1.05,-3)</f>
        <v>1073000</v>
      </c>
      <c r="D206" s="16">
        <f>Employee_Data!E206</f>
        <v>1022000</v>
      </c>
      <c r="E206" s="16">
        <f t="shared" si="15"/>
        <v>-51000</v>
      </c>
      <c r="F206" s="16">
        <f>ROUND(Employee_Data!G206*0.95,-3)</f>
        <v>21000</v>
      </c>
      <c r="G206" s="16">
        <f>Employee_Data!G206</f>
        <v>22000</v>
      </c>
      <c r="H206" s="16">
        <f t="shared" si="16"/>
        <v>1000</v>
      </c>
      <c r="I206" s="17">
        <f t="shared" si="17"/>
        <v>1094000</v>
      </c>
      <c r="J206" s="17">
        <f t="shared" si="18"/>
        <v>1044000</v>
      </c>
      <c r="K206" s="17">
        <f t="shared" si="19"/>
        <v>-50000</v>
      </c>
    </row>
    <row r="207" spans="1:11">
      <c r="A207" s="14" t="str">
        <f>Employee_Data!A207</f>
        <v>EMP0206</v>
      </c>
      <c r="B207" s="15" t="str">
        <f>Employee_Data!B207</f>
        <v>Sales</v>
      </c>
      <c r="C207" s="16">
        <f>ROUND(Employee_Data!E207*1.05,-3)</f>
        <v>604000</v>
      </c>
      <c r="D207" s="16">
        <f>Employee_Data!E207</f>
        <v>575000</v>
      </c>
      <c r="E207" s="16">
        <f t="shared" si="15"/>
        <v>-29000</v>
      </c>
      <c r="F207" s="16">
        <f>ROUND(Employee_Data!G207*0.95,-3)</f>
        <v>29000</v>
      </c>
      <c r="G207" s="16">
        <f>Employee_Data!G207</f>
        <v>30000</v>
      </c>
      <c r="H207" s="16">
        <f t="shared" si="16"/>
        <v>1000</v>
      </c>
      <c r="I207" s="17">
        <f t="shared" si="17"/>
        <v>633000</v>
      </c>
      <c r="J207" s="17">
        <f t="shared" si="18"/>
        <v>605000</v>
      </c>
      <c r="K207" s="17">
        <f t="shared" si="19"/>
        <v>-28000</v>
      </c>
    </row>
    <row r="208" spans="1:11">
      <c r="A208" s="14" t="str">
        <f>Employee_Data!A208</f>
        <v>EMP0207</v>
      </c>
      <c r="B208" s="15" t="str">
        <f>Employee_Data!B208</f>
        <v>Sales</v>
      </c>
      <c r="C208" s="16">
        <f>ROUND(Employee_Data!E208*1.05,-3)</f>
        <v>897000</v>
      </c>
      <c r="D208" s="16">
        <f>Employee_Data!E208</f>
        <v>854000</v>
      </c>
      <c r="E208" s="16">
        <f t="shared" si="15"/>
        <v>-43000</v>
      </c>
      <c r="F208" s="16">
        <f>ROUND(Employee_Data!G208*0.95,-3)</f>
        <v>17000</v>
      </c>
      <c r="G208" s="16">
        <f>Employee_Data!G208</f>
        <v>18000</v>
      </c>
      <c r="H208" s="16">
        <f t="shared" si="16"/>
        <v>1000</v>
      </c>
      <c r="I208" s="17">
        <f t="shared" si="17"/>
        <v>914000</v>
      </c>
      <c r="J208" s="17">
        <f t="shared" si="18"/>
        <v>872000</v>
      </c>
      <c r="K208" s="17">
        <f t="shared" si="19"/>
        <v>-42000</v>
      </c>
    </row>
    <row r="209" spans="1:11">
      <c r="A209" s="14" t="str">
        <f>Employee_Data!A209</f>
        <v>EMP0208</v>
      </c>
      <c r="B209" s="15" t="str">
        <f>Employee_Data!B209</f>
        <v>Sales</v>
      </c>
      <c r="C209" s="16">
        <f>ROUND(Employee_Data!E209*1.05,-3)</f>
        <v>652000</v>
      </c>
      <c r="D209" s="16">
        <f>Employee_Data!E209</f>
        <v>621000</v>
      </c>
      <c r="E209" s="16">
        <f t="shared" si="15"/>
        <v>-31000</v>
      </c>
      <c r="F209" s="16">
        <f>ROUND(Employee_Data!G209*0.95,-3)</f>
        <v>24000</v>
      </c>
      <c r="G209" s="16">
        <f>Employee_Data!G209</f>
        <v>25000</v>
      </c>
      <c r="H209" s="16">
        <f t="shared" si="16"/>
        <v>1000</v>
      </c>
      <c r="I209" s="17">
        <f t="shared" si="17"/>
        <v>676000</v>
      </c>
      <c r="J209" s="17">
        <f t="shared" si="18"/>
        <v>646000</v>
      </c>
      <c r="K209" s="17">
        <f t="shared" si="19"/>
        <v>-30000</v>
      </c>
    </row>
    <row r="210" spans="1:11">
      <c r="A210" s="14" t="str">
        <f>Employee_Data!A210</f>
        <v>EMP0209</v>
      </c>
      <c r="B210" s="15" t="str">
        <f>Employee_Data!B210</f>
        <v>Sales</v>
      </c>
      <c r="C210" s="16">
        <f>ROUND(Employee_Data!E210*1.05,-3)</f>
        <v>1199000</v>
      </c>
      <c r="D210" s="16">
        <f>Employee_Data!E210</f>
        <v>1142000</v>
      </c>
      <c r="E210" s="16">
        <f t="shared" si="15"/>
        <v>-57000</v>
      </c>
      <c r="F210" s="16">
        <f>ROUND(Employee_Data!G210*0.95,-3)</f>
        <v>29000</v>
      </c>
      <c r="G210" s="16">
        <f>Employee_Data!G210</f>
        <v>30000</v>
      </c>
      <c r="H210" s="16">
        <f t="shared" si="16"/>
        <v>1000</v>
      </c>
      <c r="I210" s="17">
        <f t="shared" si="17"/>
        <v>1228000</v>
      </c>
      <c r="J210" s="17">
        <f t="shared" si="18"/>
        <v>1172000</v>
      </c>
      <c r="K210" s="17">
        <f t="shared" si="19"/>
        <v>-56000</v>
      </c>
    </row>
    <row r="211" spans="1:11">
      <c r="A211" s="14" t="str">
        <f>Employee_Data!A211</f>
        <v>EMP0210</v>
      </c>
      <c r="B211" s="15" t="str">
        <f>Employee_Data!B211</f>
        <v>Sales</v>
      </c>
      <c r="C211" s="16">
        <f>ROUND(Employee_Data!E211*1.05,-3)</f>
        <v>666000</v>
      </c>
      <c r="D211" s="16">
        <f>Employee_Data!E211</f>
        <v>634000</v>
      </c>
      <c r="E211" s="16">
        <f t="shared" si="15"/>
        <v>-32000</v>
      </c>
      <c r="F211" s="16">
        <f>ROUND(Employee_Data!G211*0.95,-3)</f>
        <v>17000</v>
      </c>
      <c r="G211" s="16">
        <f>Employee_Data!G211</f>
        <v>18000</v>
      </c>
      <c r="H211" s="16">
        <f t="shared" si="16"/>
        <v>1000</v>
      </c>
      <c r="I211" s="17">
        <f t="shared" si="17"/>
        <v>683000</v>
      </c>
      <c r="J211" s="17">
        <f t="shared" si="18"/>
        <v>652000</v>
      </c>
      <c r="K211" s="17">
        <f t="shared" si="19"/>
        <v>-31000</v>
      </c>
    </row>
    <row r="212" spans="1:11">
      <c r="A212" s="14" t="str">
        <f>Employee_Data!A212</f>
        <v>EMP0211</v>
      </c>
      <c r="B212" s="15" t="str">
        <f>Employee_Data!B212</f>
        <v>Sales</v>
      </c>
      <c r="C212" s="16">
        <f>ROUND(Employee_Data!E212*1.05,-3)</f>
        <v>585000</v>
      </c>
      <c r="D212" s="16">
        <f>Employee_Data!E212</f>
        <v>557000</v>
      </c>
      <c r="E212" s="16">
        <f t="shared" si="15"/>
        <v>-28000</v>
      </c>
      <c r="F212" s="16">
        <f>ROUND(Employee_Data!G212*0.95,-3)</f>
        <v>27000</v>
      </c>
      <c r="G212" s="16">
        <f>Employee_Data!G212</f>
        <v>28000</v>
      </c>
      <c r="H212" s="16">
        <f t="shared" si="16"/>
        <v>1000</v>
      </c>
      <c r="I212" s="17">
        <f t="shared" si="17"/>
        <v>612000</v>
      </c>
      <c r="J212" s="17">
        <f t="shared" si="18"/>
        <v>585000</v>
      </c>
      <c r="K212" s="17">
        <f t="shared" si="19"/>
        <v>-27000</v>
      </c>
    </row>
    <row r="213" spans="1:11">
      <c r="A213" s="14" t="str">
        <f>Employee_Data!A213</f>
        <v>EMP0212</v>
      </c>
      <c r="B213" s="15" t="str">
        <f>Employee_Data!B213</f>
        <v>Sales</v>
      </c>
      <c r="C213" s="16">
        <f>ROUND(Employee_Data!E213*1.05,-3)</f>
        <v>658000</v>
      </c>
      <c r="D213" s="16">
        <f>Employee_Data!E213</f>
        <v>627000</v>
      </c>
      <c r="E213" s="16">
        <f t="shared" si="15"/>
        <v>-31000</v>
      </c>
      <c r="F213" s="16">
        <f>ROUND(Employee_Data!G213*0.95,-3)</f>
        <v>29000</v>
      </c>
      <c r="G213" s="16">
        <f>Employee_Data!G213</f>
        <v>30000</v>
      </c>
      <c r="H213" s="16">
        <f t="shared" si="16"/>
        <v>1000</v>
      </c>
      <c r="I213" s="17">
        <f t="shared" si="17"/>
        <v>687000</v>
      </c>
      <c r="J213" s="17">
        <f t="shared" si="18"/>
        <v>657000</v>
      </c>
      <c r="K213" s="17">
        <f t="shared" si="19"/>
        <v>-30000</v>
      </c>
    </row>
    <row r="214" spans="1:11">
      <c r="A214" s="14" t="str">
        <f>Employee_Data!A214</f>
        <v>EMP0213</v>
      </c>
      <c r="B214" s="15" t="str">
        <f>Employee_Data!B214</f>
        <v>Sales</v>
      </c>
      <c r="C214" s="16">
        <f>ROUND(Employee_Data!E214*1.05,-3)</f>
        <v>970000</v>
      </c>
      <c r="D214" s="16">
        <f>Employee_Data!E214</f>
        <v>924000</v>
      </c>
      <c r="E214" s="16">
        <f t="shared" si="15"/>
        <v>-46000</v>
      </c>
      <c r="F214" s="16">
        <f>ROUND(Employee_Data!G214*0.95,-3)</f>
        <v>21000</v>
      </c>
      <c r="G214" s="16">
        <f>Employee_Data!G214</f>
        <v>22000</v>
      </c>
      <c r="H214" s="16">
        <f t="shared" si="16"/>
        <v>1000</v>
      </c>
      <c r="I214" s="17">
        <f t="shared" si="17"/>
        <v>991000</v>
      </c>
      <c r="J214" s="17">
        <f t="shared" si="18"/>
        <v>946000</v>
      </c>
      <c r="K214" s="17">
        <f t="shared" si="19"/>
        <v>-45000</v>
      </c>
    </row>
    <row r="215" spans="1:11">
      <c r="A215" s="14" t="str">
        <f>Employee_Data!A215</f>
        <v>EMP0214</v>
      </c>
      <c r="B215" s="15" t="str">
        <f>Employee_Data!B215</f>
        <v>Sales</v>
      </c>
      <c r="C215" s="16">
        <f>ROUND(Employee_Data!E215*1.05,-3)</f>
        <v>1145000</v>
      </c>
      <c r="D215" s="16">
        <f>Employee_Data!E215</f>
        <v>1090000</v>
      </c>
      <c r="E215" s="16">
        <f t="shared" si="15"/>
        <v>-55000</v>
      </c>
      <c r="F215" s="16">
        <f>ROUND(Employee_Data!G215*0.95,-3)</f>
        <v>29000</v>
      </c>
      <c r="G215" s="16">
        <f>Employee_Data!G215</f>
        <v>30000</v>
      </c>
      <c r="H215" s="16">
        <f t="shared" si="16"/>
        <v>1000</v>
      </c>
      <c r="I215" s="17">
        <f t="shared" si="17"/>
        <v>1174000</v>
      </c>
      <c r="J215" s="17">
        <f t="shared" si="18"/>
        <v>1120000</v>
      </c>
      <c r="K215" s="17">
        <f t="shared" si="19"/>
        <v>-54000</v>
      </c>
    </row>
    <row r="216" spans="1:11">
      <c r="A216" s="14" t="str">
        <f>Employee_Data!A216</f>
        <v>EMP0215</v>
      </c>
      <c r="B216" s="15" t="str">
        <f>Employee_Data!B216</f>
        <v>Sales</v>
      </c>
      <c r="C216" s="16">
        <f>ROUND(Employee_Data!E216*1.05,-3)</f>
        <v>626000</v>
      </c>
      <c r="D216" s="16">
        <f>Employee_Data!E216</f>
        <v>596000</v>
      </c>
      <c r="E216" s="16">
        <f t="shared" si="15"/>
        <v>-30000</v>
      </c>
      <c r="F216" s="16">
        <f>ROUND(Employee_Data!G216*0.95,-3)</f>
        <v>27000</v>
      </c>
      <c r="G216" s="16">
        <f>Employee_Data!G216</f>
        <v>28000</v>
      </c>
      <c r="H216" s="16">
        <f t="shared" si="16"/>
        <v>1000</v>
      </c>
      <c r="I216" s="17">
        <f t="shared" si="17"/>
        <v>653000</v>
      </c>
      <c r="J216" s="17">
        <f t="shared" si="18"/>
        <v>624000</v>
      </c>
      <c r="K216" s="17">
        <f t="shared" si="19"/>
        <v>-29000</v>
      </c>
    </row>
    <row r="217" spans="1:11">
      <c r="A217" s="14" t="str">
        <f>Employee_Data!A217</f>
        <v>EMP0216</v>
      </c>
      <c r="B217" s="15" t="str">
        <f>Employee_Data!B217</f>
        <v>Sales</v>
      </c>
      <c r="C217" s="16">
        <f>ROUND(Employee_Data!E217*1.05,-3)</f>
        <v>897000</v>
      </c>
      <c r="D217" s="16">
        <f>Employee_Data!E217</f>
        <v>854000</v>
      </c>
      <c r="E217" s="16">
        <f t="shared" si="15"/>
        <v>-43000</v>
      </c>
      <c r="F217" s="16">
        <f>ROUND(Employee_Data!G217*0.95,-3)</f>
        <v>17000</v>
      </c>
      <c r="G217" s="16">
        <f>Employee_Data!G217</f>
        <v>18000</v>
      </c>
      <c r="H217" s="16">
        <f t="shared" si="16"/>
        <v>1000</v>
      </c>
      <c r="I217" s="17">
        <f t="shared" si="17"/>
        <v>914000</v>
      </c>
      <c r="J217" s="17">
        <f t="shared" si="18"/>
        <v>872000</v>
      </c>
      <c r="K217" s="17">
        <f t="shared" si="19"/>
        <v>-42000</v>
      </c>
    </row>
    <row r="218" spans="1:11">
      <c r="A218" s="14" t="str">
        <f>Employee_Data!A218</f>
        <v>EMP0217</v>
      </c>
      <c r="B218" s="15" t="str">
        <f>Employee_Data!B218</f>
        <v>Sales</v>
      </c>
      <c r="C218" s="16">
        <f>ROUND(Employee_Data!E218*1.05,-3)</f>
        <v>670000</v>
      </c>
      <c r="D218" s="16">
        <f>Employee_Data!E218</f>
        <v>638000</v>
      </c>
      <c r="E218" s="16">
        <f t="shared" si="15"/>
        <v>-32000</v>
      </c>
      <c r="F218" s="16">
        <f>ROUND(Employee_Data!G218*0.95,-3)</f>
        <v>14000</v>
      </c>
      <c r="G218" s="16">
        <f>Employee_Data!G218</f>
        <v>15000</v>
      </c>
      <c r="H218" s="16">
        <f t="shared" si="16"/>
        <v>1000</v>
      </c>
      <c r="I218" s="17">
        <f t="shared" si="17"/>
        <v>684000</v>
      </c>
      <c r="J218" s="17">
        <f t="shared" si="18"/>
        <v>653000</v>
      </c>
      <c r="K218" s="17">
        <f t="shared" si="19"/>
        <v>-31000</v>
      </c>
    </row>
    <row r="219" spans="1:11">
      <c r="A219" s="14" t="str">
        <f>Employee_Data!A219</f>
        <v>EMP0218</v>
      </c>
      <c r="B219" s="15" t="str">
        <f>Employee_Data!B219</f>
        <v>Sales</v>
      </c>
      <c r="C219" s="16">
        <f>ROUND(Employee_Data!E219*1.05,-3)</f>
        <v>664000</v>
      </c>
      <c r="D219" s="16">
        <f>Employee_Data!E219</f>
        <v>632000</v>
      </c>
      <c r="E219" s="16">
        <f t="shared" si="15"/>
        <v>-32000</v>
      </c>
      <c r="F219" s="16">
        <f>ROUND(Employee_Data!G219*0.95,-3)</f>
        <v>27000</v>
      </c>
      <c r="G219" s="16">
        <f>Employee_Data!G219</f>
        <v>28000</v>
      </c>
      <c r="H219" s="16">
        <f t="shared" si="16"/>
        <v>1000</v>
      </c>
      <c r="I219" s="17">
        <f t="shared" si="17"/>
        <v>691000</v>
      </c>
      <c r="J219" s="17">
        <f t="shared" si="18"/>
        <v>660000</v>
      </c>
      <c r="K219" s="17">
        <f t="shared" si="19"/>
        <v>-31000</v>
      </c>
    </row>
    <row r="220" spans="1:11">
      <c r="A220" s="14" t="str">
        <f>Employee_Data!A220</f>
        <v>EMP0219</v>
      </c>
      <c r="B220" s="15" t="str">
        <f>Employee_Data!B220</f>
        <v>Sales</v>
      </c>
      <c r="C220" s="16">
        <f>ROUND(Employee_Data!E220*1.05,-3)</f>
        <v>1147000</v>
      </c>
      <c r="D220" s="16">
        <f>Employee_Data!E220</f>
        <v>1092000</v>
      </c>
      <c r="E220" s="16">
        <f t="shared" si="15"/>
        <v>-55000</v>
      </c>
      <c r="F220" s="16">
        <f>ROUND(Employee_Data!G220*0.95,-3)</f>
        <v>14000</v>
      </c>
      <c r="G220" s="16">
        <f>Employee_Data!G220</f>
        <v>15000</v>
      </c>
      <c r="H220" s="16">
        <f t="shared" si="16"/>
        <v>1000</v>
      </c>
      <c r="I220" s="17">
        <f t="shared" si="17"/>
        <v>1161000</v>
      </c>
      <c r="J220" s="17">
        <f t="shared" si="18"/>
        <v>1107000</v>
      </c>
      <c r="K220" s="17">
        <f t="shared" si="19"/>
        <v>-54000</v>
      </c>
    </row>
    <row r="221" spans="1:11">
      <c r="A221" s="14" t="str">
        <f>Employee_Data!A221</f>
        <v>EMP0220</v>
      </c>
      <c r="B221" s="15" t="str">
        <f>Employee_Data!B221</f>
        <v>Sales</v>
      </c>
      <c r="C221" s="16">
        <f>ROUND(Employee_Data!E221*1.05,-3)</f>
        <v>667000</v>
      </c>
      <c r="D221" s="16">
        <f>Employee_Data!E221</f>
        <v>635000</v>
      </c>
      <c r="E221" s="16">
        <f t="shared" si="15"/>
        <v>-32000</v>
      </c>
      <c r="F221" s="16">
        <f>ROUND(Employee_Data!G221*0.95,-3)</f>
        <v>21000</v>
      </c>
      <c r="G221" s="16">
        <f>Employee_Data!G221</f>
        <v>22000</v>
      </c>
      <c r="H221" s="16">
        <f t="shared" si="16"/>
        <v>1000</v>
      </c>
      <c r="I221" s="17">
        <f t="shared" si="17"/>
        <v>688000</v>
      </c>
      <c r="J221" s="17">
        <f t="shared" si="18"/>
        <v>657000</v>
      </c>
      <c r="K221" s="17">
        <f t="shared" si="19"/>
        <v>-31000</v>
      </c>
    </row>
    <row r="222" spans="1:11">
      <c r="A222" s="14" t="str">
        <f>Employee_Data!A222</f>
        <v>EMP0221</v>
      </c>
      <c r="B222" s="15" t="str">
        <f>Employee_Data!B222</f>
        <v>Sales</v>
      </c>
      <c r="C222" s="16">
        <f>ROUND(Employee_Data!E222*1.05,-3)</f>
        <v>741000</v>
      </c>
      <c r="D222" s="16">
        <f>Employee_Data!E222</f>
        <v>706000</v>
      </c>
      <c r="E222" s="16">
        <f t="shared" si="15"/>
        <v>-35000</v>
      </c>
      <c r="F222" s="16">
        <f>ROUND(Employee_Data!G222*0.95,-3)</f>
        <v>27000</v>
      </c>
      <c r="G222" s="16">
        <f>Employee_Data!G222</f>
        <v>28000</v>
      </c>
      <c r="H222" s="16">
        <f t="shared" si="16"/>
        <v>1000</v>
      </c>
      <c r="I222" s="17">
        <f t="shared" si="17"/>
        <v>768000</v>
      </c>
      <c r="J222" s="17">
        <f t="shared" si="18"/>
        <v>734000</v>
      </c>
      <c r="K222" s="17">
        <f t="shared" si="19"/>
        <v>-34000</v>
      </c>
    </row>
    <row r="223" spans="1:11">
      <c r="A223" s="14" t="str">
        <f>Employee_Data!A223</f>
        <v>EMP0222</v>
      </c>
      <c r="B223" s="15" t="str">
        <f>Employee_Data!B223</f>
        <v>Sales</v>
      </c>
      <c r="C223" s="16">
        <f>ROUND(Employee_Data!E223*1.05,-3)</f>
        <v>599000</v>
      </c>
      <c r="D223" s="16">
        <f>Employee_Data!E223</f>
        <v>570000</v>
      </c>
      <c r="E223" s="16">
        <f t="shared" si="15"/>
        <v>-29000</v>
      </c>
      <c r="F223" s="16">
        <f>ROUND(Employee_Data!G223*0.95,-3)</f>
        <v>14000</v>
      </c>
      <c r="G223" s="16">
        <f>Employee_Data!G223</f>
        <v>15000</v>
      </c>
      <c r="H223" s="16">
        <f t="shared" si="16"/>
        <v>1000</v>
      </c>
      <c r="I223" s="17">
        <f t="shared" si="17"/>
        <v>613000</v>
      </c>
      <c r="J223" s="17">
        <f t="shared" si="18"/>
        <v>585000</v>
      </c>
      <c r="K223" s="17">
        <f t="shared" si="19"/>
        <v>-28000</v>
      </c>
    </row>
    <row r="224" spans="1:11">
      <c r="A224" s="14" t="str">
        <f>Employee_Data!A224</f>
        <v>EMP0223</v>
      </c>
      <c r="B224" s="15" t="str">
        <f>Employee_Data!B224</f>
        <v>Sales</v>
      </c>
      <c r="C224" s="16">
        <f>ROUND(Employee_Data!E224*1.05,-3)</f>
        <v>940000</v>
      </c>
      <c r="D224" s="16">
        <f>Employee_Data!E224</f>
        <v>895000</v>
      </c>
      <c r="E224" s="16">
        <f t="shared" si="15"/>
        <v>-45000</v>
      </c>
      <c r="F224" s="16">
        <f>ROUND(Employee_Data!G224*0.95,-3)</f>
        <v>24000</v>
      </c>
      <c r="G224" s="16">
        <f>Employee_Data!G224</f>
        <v>25000</v>
      </c>
      <c r="H224" s="16">
        <f t="shared" si="16"/>
        <v>1000</v>
      </c>
      <c r="I224" s="17">
        <f t="shared" si="17"/>
        <v>964000</v>
      </c>
      <c r="J224" s="17">
        <f t="shared" si="18"/>
        <v>920000</v>
      </c>
      <c r="K224" s="17">
        <f t="shared" si="19"/>
        <v>-44000</v>
      </c>
    </row>
    <row r="225" spans="1:11">
      <c r="A225" s="14" t="str">
        <f>Employee_Data!A225</f>
        <v>EMP0224</v>
      </c>
      <c r="B225" s="15" t="str">
        <f>Employee_Data!B225</f>
        <v>Sales</v>
      </c>
      <c r="C225" s="16">
        <f>ROUND(Employee_Data!E225*1.05,-3)</f>
        <v>614000</v>
      </c>
      <c r="D225" s="16">
        <f>Employee_Data!E225</f>
        <v>585000</v>
      </c>
      <c r="E225" s="16">
        <f t="shared" si="15"/>
        <v>-29000</v>
      </c>
      <c r="F225" s="16">
        <f>ROUND(Employee_Data!G225*0.95,-3)</f>
        <v>19000</v>
      </c>
      <c r="G225" s="16">
        <f>Employee_Data!G225</f>
        <v>20000</v>
      </c>
      <c r="H225" s="16">
        <f t="shared" si="16"/>
        <v>1000</v>
      </c>
      <c r="I225" s="17">
        <f t="shared" si="17"/>
        <v>633000</v>
      </c>
      <c r="J225" s="17">
        <f t="shared" si="18"/>
        <v>605000</v>
      </c>
      <c r="K225" s="17">
        <f t="shared" si="19"/>
        <v>-28000</v>
      </c>
    </row>
    <row r="226" spans="1:11">
      <c r="A226" s="14" t="str">
        <f>Employee_Data!A226</f>
        <v>EMP0225</v>
      </c>
      <c r="B226" s="15" t="str">
        <f>Employee_Data!B226</f>
        <v>Sales</v>
      </c>
      <c r="C226" s="16">
        <f>ROUND(Employee_Data!E226*1.05,-3)</f>
        <v>587000</v>
      </c>
      <c r="D226" s="16">
        <f>Employee_Data!E226</f>
        <v>559000</v>
      </c>
      <c r="E226" s="16">
        <f t="shared" si="15"/>
        <v>-28000</v>
      </c>
      <c r="F226" s="16">
        <f>ROUND(Employee_Data!G226*0.95,-3)</f>
        <v>14000</v>
      </c>
      <c r="G226" s="16">
        <f>Employee_Data!G226</f>
        <v>15000</v>
      </c>
      <c r="H226" s="16">
        <f t="shared" si="16"/>
        <v>1000</v>
      </c>
      <c r="I226" s="17">
        <f t="shared" si="17"/>
        <v>601000</v>
      </c>
      <c r="J226" s="17">
        <f t="shared" si="18"/>
        <v>574000</v>
      </c>
      <c r="K226" s="17">
        <f t="shared" si="19"/>
        <v>-27000</v>
      </c>
    </row>
    <row r="227" spans="1:11">
      <c r="A227" s="14" t="str">
        <f>Employee_Data!A227</f>
        <v>EMP0226</v>
      </c>
      <c r="B227" s="15" t="str">
        <f>Employee_Data!B227</f>
        <v>Sales</v>
      </c>
      <c r="C227" s="16">
        <f>ROUND(Employee_Data!E227*1.05,-3)</f>
        <v>671000</v>
      </c>
      <c r="D227" s="16">
        <f>Employee_Data!E227</f>
        <v>639000</v>
      </c>
      <c r="E227" s="16">
        <f t="shared" si="15"/>
        <v>-32000</v>
      </c>
      <c r="F227" s="16">
        <f>ROUND(Employee_Data!G227*0.95,-3)</f>
        <v>19000</v>
      </c>
      <c r="G227" s="16">
        <f>Employee_Data!G227</f>
        <v>20000</v>
      </c>
      <c r="H227" s="16">
        <f t="shared" si="16"/>
        <v>1000</v>
      </c>
      <c r="I227" s="17">
        <f t="shared" si="17"/>
        <v>690000</v>
      </c>
      <c r="J227" s="17">
        <f t="shared" si="18"/>
        <v>659000</v>
      </c>
      <c r="K227" s="17">
        <f t="shared" si="19"/>
        <v>-31000</v>
      </c>
    </row>
    <row r="228" spans="1:11">
      <c r="A228" s="14" t="str">
        <f>Employee_Data!A228</f>
        <v>EMP0227</v>
      </c>
      <c r="B228" s="15" t="str">
        <f>Employee_Data!B228</f>
        <v>Sales</v>
      </c>
      <c r="C228" s="16">
        <f>ROUND(Employee_Data!E228*1.05,-3)</f>
        <v>956000</v>
      </c>
      <c r="D228" s="16">
        <f>Employee_Data!E228</f>
        <v>910000</v>
      </c>
      <c r="E228" s="16">
        <f t="shared" si="15"/>
        <v>-46000</v>
      </c>
      <c r="F228" s="16">
        <f>ROUND(Employee_Data!G228*0.95,-3)</f>
        <v>17000</v>
      </c>
      <c r="G228" s="16">
        <f>Employee_Data!G228</f>
        <v>18000</v>
      </c>
      <c r="H228" s="16">
        <f t="shared" si="16"/>
        <v>1000</v>
      </c>
      <c r="I228" s="17">
        <f t="shared" si="17"/>
        <v>973000</v>
      </c>
      <c r="J228" s="17">
        <f t="shared" si="18"/>
        <v>928000</v>
      </c>
      <c r="K228" s="17">
        <f t="shared" si="19"/>
        <v>-45000</v>
      </c>
    </row>
    <row r="229" spans="1:11">
      <c r="A229" s="14" t="str">
        <f>Employee_Data!A229</f>
        <v>EMP0228</v>
      </c>
      <c r="B229" s="15" t="str">
        <f>Employee_Data!B229</f>
        <v>Sales</v>
      </c>
      <c r="C229" s="16">
        <f>ROUND(Employee_Data!E229*1.05,-3)</f>
        <v>672000</v>
      </c>
      <c r="D229" s="16">
        <f>Employee_Data!E229</f>
        <v>640000</v>
      </c>
      <c r="E229" s="16">
        <f t="shared" si="15"/>
        <v>-32000</v>
      </c>
      <c r="F229" s="16">
        <f>ROUND(Employee_Data!G229*0.95,-3)</f>
        <v>17000</v>
      </c>
      <c r="G229" s="16">
        <f>Employee_Data!G229</f>
        <v>18000</v>
      </c>
      <c r="H229" s="16">
        <f t="shared" si="16"/>
        <v>1000</v>
      </c>
      <c r="I229" s="17">
        <f t="shared" si="17"/>
        <v>689000</v>
      </c>
      <c r="J229" s="17">
        <f t="shared" si="18"/>
        <v>658000</v>
      </c>
      <c r="K229" s="17">
        <f t="shared" si="19"/>
        <v>-31000</v>
      </c>
    </row>
    <row r="230" spans="1:11">
      <c r="A230" s="14" t="str">
        <f>Employee_Data!A230</f>
        <v>EMP0229</v>
      </c>
      <c r="B230" s="15" t="str">
        <f>Employee_Data!B230</f>
        <v>Sales</v>
      </c>
      <c r="C230" s="16">
        <f>ROUND(Employee_Data!E230*1.05,-3)</f>
        <v>899000</v>
      </c>
      <c r="D230" s="16">
        <f>Employee_Data!E230</f>
        <v>856000</v>
      </c>
      <c r="E230" s="16">
        <f t="shared" si="15"/>
        <v>-43000</v>
      </c>
      <c r="F230" s="16">
        <f>ROUND(Employee_Data!G230*0.95,-3)</f>
        <v>24000</v>
      </c>
      <c r="G230" s="16">
        <f>Employee_Data!G230</f>
        <v>25000</v>
      </c>
      <c r="H230" s="16">
        <f t="shared" si="16"/>
        <v>1000</v>
      </c>
      <c r="I230" s="17">
        <f t="shared" si="17"/>
        <v>923000</v>
      </c>
      <c r="J230" s="17">
        <f t="shared" si="18"/>
        <v>881000</v>
      </c>
      <c r="K230" s="17">
        <f t="shared" si="19"/>
        <v>-42000</v>
      </c>
    </row>
    <row r="231" spans="1:11">
      <c r="A231" s="14" t="str">
        <f>Employee_Data!A231</f>
        <v>EMP0230</v>
      </c>
      <c r="B231" s="15" t="str">
        <f>Employee_Data!B231</f>
        <v>Sales</v>
      </c>
      <c r="C231" s="16">
        <f>ROUND(Employee_Data!E231*1.05,-3)</f>
        <v>666000</v>
      </c>
      <c r="D231" s="16">
        <f>Employee_Data!E231</f>
        <v>634000</v>
      </c>
      <c r="E231" s="16">
        <f t="shared" si="15"/>
        <v>-32000</v>
      </c>
      <c r="F231" s="16">
        <f>ROUND(Employee_Data!G231*0.95,-3)</f>
        <v>33000</v>
      </c>
      <c r="G231" s="16">
        <f>Employee_Data!G231</f>
        <v>35000</v>
      </c>
      <c r="H231" s="16">
        <f t="shared" si="16"/>
        <v>2000</v>
      </c>
      <c r="I231" s="17">
        <f t="shared" si="17"/>
        <v>699000</v>
      </c>
      <c r="J231" s="17">
        <f t="shared" si="18"/>
        <v>669000</v>
      </c>
      <c r="K231" s="17">
        <f t="shared" si="19"/>
        <v>-30000</v>
      </c>
    </row>
    <row r="232" spans="1:11">
      <c r="A232" s="14" t="str">
        <f>Employee_Data!A232</f>
        <v>EMP0231</v>
      </c>
      <c r="B232" s="15" t="str">
        <f>Employee_Data!B232</f>
        <v>Sales</v>
      </c>
      <c r="C232" s="16">
        <f>ROUND(Employee_Data!E232*1.05,-3)</f>
        <v>597000</v>
      </c>
      <c r="D232" s="16">
        <f>Employee_Data!E232</f>
        <v>569000</v>
      </c>
      <c r="E232" s="16">
        <f t="shared" si="15"/>
        <v>-28000</v>
      </c>
      <c r="F232" s="16">
        <f>ROUND(Employee_Data!G232*0.95,-3)</f>
        <v>14000</v>
      </c>
      <c r="G232" s="16">
        <f>Employee_Data!G232</f>
        <v>15000</v>
      </c>
      <c r="H232" s="16">
        <f t="shared" si="16"/>
        <v>1000</v>
      </c>
      <c r="I232" s="17">
        <f t="shared" si="17"/>
        <v>611000</v>
      </c>
      <c r="J232" s="17">
        <f t="shared" si="18"/>
        <v>584000</v>
      </c>
      <c r="K232" s="17">
        <f t="shared" si="19"/>
        <v>-27000</v>
      </c>
    </row>
    <row r="233" spans="1:11">
      <c r="A233" s="14" t="str">
        <f>Employee_Data!A233</f>
        <v>EMP0232</v>
      </c>
      <c r="B233" s="15" t="str">
        <f>Employee_Data!B233</f>
        <v>Sales</v>
      </c>
      <c r="C233" s="16">
        <f>ROUND(Employee_Data!E233*1.05,-3)</f>
        <v>596000</v>
      </c>
      <c r="D233" s="16">
        <f>Employee_Data!E233</f>
        <v>568000</v>
      </c>
      <c r="E233" s="16">
        <f t="shared" si="15"/>
        <v>-28000</v>
      </c>
      <c r="F233" s="16">
        <f>ROUND(Employee_Data!G233*0.95,-3)</f>
        <v>24000</v>
      </c>
      <c r="G233" s="16">
        <f>Employee_Data!G233</f>
        <v>25000</v>
      </c>
      <c r="H233" s="16">
        <f t="shared" si="16"/>
        <v>1000</v>
      </c>
      <c r="I233" s="17">
        <f t="shared" si="17"/>
        <v>620000</v>
      </c>
      <c r="J233" s="17">
        <f t="shared" si="18"/>
        <v>593000</v>
      </c>
      <c r="K233" s="17">
        <f t="shared" si="19"/>
        <v>-27000</v>
      </c>
    </row>
    <row r="234" spans="1:11">
      <c r="A234" s="14" t="str">
        <f>Employee_Data!A234</f>
        <v>EMP0233</v>
      </c>
      <c r="B234" s="15" t="str">
        <f>Employee_Data!B234</f>
        <v>Sales</v>
      </c>
      <c r="C234" s="16">
        <f>ROUND(Employee_Data!E234*1.05,-3)</f>
        <v>636000</v>
      </c>
      <c r="D234" s="16">
        <f>Employee_Data!E234</f>
        <v>606000</v>
      </c>
      <c r="E234" s="16">
        <f t="shared" si="15"/>
        <v>-30000</v>
      </c>
      <c r="F234" s="16">
        <f>ROUND(Employee_Data!G234*0.95,-3)</f>
        <v>19000</v>
      </c>
      <c r="G234" s="16">
        <f>Employee_Data!G234</f>
        <v>20000</v>
      </c>
      <c r="H234" s="16">
        <f t="shared" si="16"/>
        <v>1000</v>
      </c>
      <c r="I234" s="17">
        <f t="shared" si="17"/>
        <v>655000</v>
      </c>
      <c r="J234" s="17">
        <f t="shared" si="18"/>
        <v>626000</v>
      </c>
      <c r="K234" s="17">
        <f t="shared" si="19"/>
        <v>-29000</v>
      </c>
    </row>
    <row r="235" spans="1:11">
      <c r="A235" s="14" t="str">
        <f>Employee_Data!A235</f>
        <v>EMP0234</v>
      </c>
      <c r="B235" s="15" t="str">
        <f>Employee_Data!B235</f>
        <v>Sales</v>
      </c>
      <c r="C235" s="16">
        <f>ROUND(Employee_Data!E235*1.05,-3)</f>
        <v>902000</v>
      </c>
      <c r="D235" s="16">
        <f>Employee_Data!E235</f>
        <v>859000</v>
      </c>
      <c r="E235" s="16">
        <f t="shared" si="15"/>
        <v>-43000</v>
      </c>
      <c r="F235" s="16">
        <f>ROUND(Employee_Data!G235*0.95,-3)</f>
        <v>27000</v>
      </c>
      <c r="G235" s="16">
        <f>Employee_Data!G235</f>
        <v>28000</v>
      </c>
      <c r="H235" s="16">
        <f t="shared" si="16"/>
        <v>1000</v>
      </c>
      <c r="I235" s="17">
        <f t="shared" si="17"/>
        <v>929000</v>
      </c>
      <c r="J235" s="17">
        <f t="shared" si="18"/>
        <v>887000</v>
      </c>
      <c r="K235" s="17">
        <f t="shared" si="19"/>
        <v>-42000</v>
      </c>
    </row>
    <row r="236" spans="1:11">
      <c r="A236" s="14" t="str">
        <f>Employee_Data!A236</f>
        <v>EMP0235</v>
      </c>
      <c r="B236" s="15" t="str">
        <f>Employee_Data!B236</f>
        <v>Sales</v>
      </c>
      <c r="C236" s="16">
        <f>ROUND(Employee_Data!E236*1.05,-3)</f>
        <v>1050000</v>
      </c>
      <c r="D236" s="16">
        <f>Employee_Data!E236</f>
        <v>1000000</v>
      </c>
      <c r="E236" s="16">
        <f t="shared" si="15"/>
        <v>-50000</v>
      </c>
      <c r="F236" s="16">
        <f>ROUND(Employee_Data!G236*0.95,-3)</f>
        <v>17000</v>
      </c>
      <c r="G236" s="16">
        <f>Employee_Data!G236</f>
        <v>18000</v>
      </c>
      <c r="H236" s="16">
        <f t="shared" si="16"/>
        <v>1000</v>
      </c>
      <c r="I236" s="17">
        <f t="shared" si="17"/>
        <v>1067000</v>
      </c>
      <c r="J236" s="17">
        <f t="shared" si="18"/>
        <v>1018000</v>
      </c>
      <c r="K236" s="17">
        <f t="shared" si="19"/>
        <v>-49000</v>
      </c>
    </row>
    <row r="237" spans="1:11">
      <c r="A237" s="14" t="str">
        <f>Employee_Data!A237</f>
        <v>EMP0236</v>
      </c>
      <c r="B237" s="15" t="str">
        <f>Employee_Data!B237</f>
        <v>Sales</v>
      </c>
      <c r="C237" s="16">
        <f>ROUND(Employee_Data!E237*1.05,-3)</f>
        <v>700000</v>
      </c>
      <c r="D237" s="16">
        <f>Employee_Data!E237</f>
        <v>667000</v>
      </c>
      <c r="E237" s="16">
        <f t="shared" si="15"/>
        <v>-33000</v>
      </c>
      <c r="F237" s="16">
        <f>ROUND(Employee_Data!G237*0.95,-3)</f>
        <v>29000</v>
      </c>
      <c r="G237" s="16">
        <f>Employee_Data!G237</f>
        <v>30000</v>
      </c>
      <c r="H237" s="16">
        <f t="shared" si="16"/>
        <v>1000</v>
      </c>
      <c r="I237" s="17">
        <f t="shared" si="17"/>
        <v>729000</v>
      </c>
      <c r="J237" s="17">
        <f t="shared" si="18"/>
        <v>697000</v>
      </c>
      <c r="K237" s="17">
        <f t="shared" si="19"/>
        <v>-32000</v>
      </c>
    </row>
    <row r="238" spans="1:11">
      <c r="A238" s="14" t="str">
        <f>Employee_Data!A238</f>
        <v>EMP0237</v>
      </c>
      <c r="B238" s="15" t="str">
        <f>Employee_Data!B238</f>
        <v>Sales</v>
      </c>
      <c r="C238" s="16">
        <f>ROUND(Employee_Data!E238*1.05,-3)</f>
        <v>701000</v>
      </c>
      <c r="D238" s="16">
        <f>Employee_Data!E238</f>
        <v>668000</v>
      </c>
      <c r="E238" s="16">
        <f t="shared" si="15"/>
        <v>-33000</v>
      </c>
      <c r="F238" s="16">
        <f>ROUND(Employee_Data!G238*0.95,-3)</f>
        <v>33000</v>
      </c>
      <c r="G238" s="16">
        <f>Employee_Data!G238</f>
        <v>35000</v>
      </c>
      <c r="H238" s="16">
        <f t="shared" si="16"/>
        <v>2000</v>
      </c>
      <c r="I238" s="17">
        <f t="shared" si="17"/>
        <v>734000</v>
      </c>
      <c r="J238" s="17">
        <f t="shared" si="18"/>
        <v>703000</v>
      </c>
      <c r="K238" s="17">
        <f t="shared" si="19"/>
        <v>-31000</v>
      </c>
    </row>
    <row r="239" spans="1:11">
      <c r="A239" s="14" t="str">
        <f>Employee_Data!A239</f>
        <v>EMP0238</v>
      </c>
      <c r="B239" s="15" t="str">
        <f>Employee_Data!B239</f>
        <v>Sales</v>
      </c>
      <c r="C239" s="16">
        <f>ROUND(Employee_Data!E239*1.05,-3)</f>
        <v>1062000</v>
      </c>
      <c r="D239" s="16">
        <f>Employee_Data!E239</f>
        <v>1011000</v>
      </c>
      <c r="E239" s="16">
        <f t="shared" si="15"/>
        <v>-51000</v>
      </c>
      <c r="F239" s="16">
        <f>ROUND(Employee_Data!G239*0.95,-3)</f>
        <v>21000</v>
      </c>
      <c r="G239" s="16">
        <f>Employee_Data!G239</f>
        <v>22000</v>
      </c>
      <c r="H239" s="16">
        <f t="shared" si="16"/>
        <v>1000</v>
      </c>
      <c r="I239" s="17">
        <f t="shared" si="17"/>
        <v>1083000</v>
      </c>
      <c r="J239" s="17">
        <f t="shared" si="18"/>
        <v>1033000</v>
      </c>
      <c r="K239" s="17">
        <f t="shared" si="19"/>
        <v>-50000</v>
      </c>
    </row>
    <row r="240" spans="1:11">
      <c r="A240" s="14" t="str">
        <f>Employee_Data!A240</f>
        <v>EMP0239</v>
      </c>
      <c r="B240" s="15" t="str">
        <f>Employee_Data!B240</f>
        <v>Sales</v>
      </c>
      <c r="C240" s="16">
        <f>ROUND(Employee_Data!E240*1.05,-3)</f>
        <v>578000</v>
      </c>
      <c r="D240" s="16">
        <f>Employee_Data!E240</f>
        <v>550000</v>
      </c>
      <c r="E240" s="16">
        <f t="shared" si="15"/>
        <v>-28000</v>
      </c>
      <c r="F240" s="16">
        <f>ROUND(Employee_Data!G240*0.95,-3)</f>
        <v>27000</v>
      </c>
      <c r="G240" s="16">
        <f>Employee_Data!G240</f>
        <v>28000</v>
      </c>
      <c r="H240" s="16">
        <f t="shared" si="16"/>
        <v>1000</v>
      </c>
      <c r="I240" s="17">
        <f t="shared" si="17"/>
        <v>605000</v>
      </c>
      <c r="J240" s="17">
        <f t="shared" si="18"/>
        <v>578000</v>
      </c>
      <c r="K240" s="17">
        <f t="shared" si="19"/>
        <v>-27000</v>
      </c>
    </row>
    <row r="241" spans="1:11">
      <c r="A241" s="14" t="str">
        <f>Employee_Data!A241</f>
        <v>EMP0240</v>
      </c>
      <c r="B241" s="15" t="str">
        <f>Employee_Data!B241</f>
        <v>Sales</v>
      </c>
      <c r="C241" s="16">
        <f>ROUND(Employee_Data!E241*1.05,-3)</f>
        <v>818000</v>
      </c>
      <c r="D241" s="16">
        <f>Employee_Data!E241</f>
        <v>779000</v>
      </c>
      <c r="E241" s="16">
        <f t="shared" si="15"/>
        <v>-39000</v>
      </c>
      <c r="F241" s="16">
        <f>ROUND(Employee_Data!G241*0.95,-3)</f>
        <v>21000</v>
      </c>
      <c r="G241" s="16">
        <f>Employee_Data!G241</f>
        <v>22000</v>
      </c>
      <c r="H241" s="16">
        <f t="shared" si="16"/>
        <v>1000</v>
      </c>
      <c r="I241" s="17">
        <f t="shared" si="17"/>
        <v>839000</v>
      </c>
      <c r="J241" s="17">
        <f t="shared" si="18"/>
        <v>801000</v>
      </c>
      <c r="K241" s="17">
        <f t="shared" si="19"/>
        <v>-38000</v>
      </c>
    </row>
    <row r="242" spans="1:11">
      <c r="A242" s="14" t="str">
        <f>Employee_Data!A242</f>
        <v>EMP0241</v>
      </c>
      <c r="B242" s="15" t="str">
        <f>Employee_Data!B242</f>
        <v>Sales</v>
      </c>
      <c r="C242" s="16">
        <f>ROUND(Employee_Data!E242*1.05,-3)</f>
        <v>668000</v>
      </c>
      <c r="D242" s="16">
        <f>Employee_Data!E242</f>
        <v>636000</v>
      </c>
      <c r="E242" s="16">
        <f t="shared" si="15"/>
        <v>-32000</v>
      </c>
      <c r="F242" s="16">
        <f>ROUND(Employee_Data!G242*0.95,-3)</f>
        <v>19000</v>
      </c>
      <c r="G242" s="16">
        <f>Employee_Data!G242</f>
        <v>20000</v>
      </c>
      <c r="H242" s="16">
        <f t="shared" si="16"/>
        <v>1000</v>
      </c>
      <c r="I242" s="17">
        <f t="shared" si="17"/>
        <v>687000</v>
      </c>
      <c r="J242" s="17">
        <f t="shared" si="18"/>
        <v>656000</v>
      </c>
      <c r="K242" s="17">
        <f t="shared" si="19"/>
        <v>-31000</v>
      </c>
    </row>
    <row r="243" spans="1:11">
      <c r="A243" s="14" t="str">
        <f>Employee_Data!A243</f>
        <v>EMP0242</v>
      </c>
      <c r="B243" s="15" t="str">
        <f>Employee_Data!B243</f>
        <v>Sales</v>
      </c>
      <c r="C243" s="16">
        <f>ROUND(Employee_Data!E243*1.05,-3)</f>
        <v>594000</v>
      </c>
      <c r="D243" s="16">
        <f>Employee_Data!E243</f>
        <v>566000</v>
      </c>
      <c r="E243" s="16">
        <f t="shared" si="15"/>
        <v>-28000</v>
      </c>
      <c r="F243" s="16">
        <f>ROUND(Employee_Data!G243*0.95,-3)</f>
        <v>17000</v>
      </c>
      <c r="G243" s="16">
        <f>Employee_Data!G243</f>
        <v>18000</v>
      </c>
      <c r="H243" s="16">
        <f t="shared" si="16"/>
        <v>1000</v>
      </c>
      <c r="I243" s="17">
        <f t="shared" si="17"/>
        <v>611000</v>
      </c>
      <c r="J243" s="17">
        <f t="shared" si="18"/>
        <v>584000</v>
      </c>
      <c r="K243" s="17">
        <f t="shared" si="19"/>
        <v>-27000</v>
      </c>
    </row>
    <row r="244" spans="1:11">
      <c r="A244" s="14" t="str">
        <f>Employee_Data!A244</f>
        <v>EMP0243</v>
      </c>
      <c r="B244" s="15" t="str">
        <f>Employee_Data!B244</f>
        <v>Sales</v>
      </c>
      <c r="C244" s="16">
        <f>ROUND(Employee_Data!E244*1.05,-3)</f>
        <v>900000</v>
      </c>
      <c r="D244" s="16">
        <f>Employee_Data!E244</f>
        <v>857000</v>
      </c>
      <c r="E244" s="16">
        <f t="shared" si="15"/>
        <v>-43000</v>
      </c>
      <c r="F244" s="16">
        <f>ROUND(Employee_Data!G244*0.95,-3)</f>
        <v>33000</v>
      </c>
      <c r="G244" s="16">
        <f>Employee_Data!G244</f>
        <v>35000</v>
      </c>
      <c r="H244" s="16">
        <f t="shared" si="16"/>
        <v>2000</v>
      </c>
      <c r="I244" s="17">
        <f t="shared" si="17"/>
        <v>933000</v>
      </c>
      <c r="J244" s="17">
        <f t="shared" si="18"/>
        <v>892000</v>
      </c>
      <c r="K244" s="17">
        <f t="shared" si="19"/>
        <v>-41000</v>
      </c>
    </row>
    <row r="245" spans="1:11">
      <c r="A245" s="14" t="str">
        <f>Employee_Data!A245</f>
        <v>EMP0244</v>
      </c>
      <c r="B245" s="15" t="str">
        <f>Employee_Data!B245</f>
        <v>Sales</v>
      </c>
      <c r="C245" s="16">
        <f>ROUND(Employee_Data!E245*1.05,-3)</f>
        <v>1203000</v>
      </c>
      <c r="D245" s="16">
        <f>Employee_Data!E245</f>
        <v>1146000</v>
      </c>
      <c r="E245" s="16">
        <f t="shared" si="15"/>
        <v>-57000</v>
      </c>
      <c r="F245" s="16">
        <f>ROUND(Employee_Data!G245*0.95,-3)</f>
        <v>27000</v>
      </c>
      <c r="G245" s="16">
        <f>Employee_Data!G245</f>
        <v>28000</v>
      </c>
      <c r="H245" s="16">
        <f t="shared" si="16"/>
        <v>1000</v>
      </c>
      <c r="I245" s="17">
        <f t="shared" si="17"/>
        <v>1230000</v>
      </c>
      <c r="J245" s="17">
        <f t="shared" si="18"/>
        <v>1174000</v>
      </c>
      <c r="K245" s="17">
        <f t="shared" si="19"/>
        <v>-56000</v>
      </c>
    </row>
    <row r="246" spans="1:11">
      <c r="A246" s="14" t="str">
        <f>Employee_Data!A246</f>
        <v>EMP0245</v>
      </c>
      <c r="B246" s="15" t="str">
        <f>Employee_Data!B246</f>
        <v>Sales</v>
      </c>
      <c r="C246" s="16">
        <f>ROUND(Employee_Data!E246*1.05,-3)</f>
        <v>637000</v>
      </c>
      <c r="D246" s="16">
        <f>Employee_Data!E246</f>
        <v>607000</v>
      </c>
      <c r="E246" s="16">
        <f t="shared" si="15"/>
        <v>-30000</v>
      </c>
      <c r="F246" s="16">
        <f>ROUND(Employee_Data!G246*0.95,-3)</f>
        <v>33000</v>
      </c>
      <c r="G246" s="16">
        <f>Employee_Data!G246</f>
        <v>35000</v>
      </c>
      <c r="H246" s="16">
        <f t="shared" si="16"/>
        <v>2000</v>
      </c>
      <c r="I246" s="17">
        <f t="shared" si="17"/>
        <v>670000</v>
      </c>
      <c r="J246" s="17">
        <f t="shared" si="18"/>
        <v>642000</v>
      </c>
      <c r="K246" s="17">
        <f t="shared" si="19"/>
        <v>-28000</v>
      </c>
    </row>
    <row r="247" spans="1:11">
      <c r="A247" s="14" t="str">
        <f>Employee_Data!A247</f>
        <v>EMP0246</v>
      </c>
      <c r="B247" s="15" t="str">
        <f>Employee_Data!B247</f>
        <v>Sales</v>
      </c>
      <c r="C247" s="16">
        <f>ROUND(Employee_Data!E247*1.05,-3)</f>
        <v>920000</v>
      </c>
      <c r="D247" s="16">
        <f>Employee_Data!E247</f>
        <v>876000</v>
      </c>
      <c r="E247" s="16">
        <f t="shared" si="15"/>
        <v>-44000</v>
      </c>
      <c r="F247" s="16">
        <f>ROUND(Employee_Data!G247*0.95,-3)</f>
        <v>17000</v>
      </c>
      <c r="G247" s="16">
        <f>Employee_Data!G247</f>
        <v>18000</v>
      </c>
      <c r="H247" s="16">
        <f t="shared" si="16"/>
        <v>1000</v>
      </c>
      <c r="I247" s="17">
        <f t="shared" si="17"/>
        <v>937000</v>
      </c>
      <c r="J247" s="17">
        <f t="shared" si="18"/>
        <v>894000</v>
      </c>
      <c r="K247" s="17">
        <f t="shared" si="19"/>
        <v>-43000</v>
      </c>
    </row>
    <row r="248" spans="1:11">
      <c r="A248" s="14" t="str">
        <f>Employee_Data!A248</f>
        <v>EMP0247</v>
      </c>
      <c r="B248" s="15" t="str">
        <f>Employee_Data!B248</f>
        <v>Sales</v>
      </c>
      <c r="C248" s="16">
        <f>ROUND(Employee_Data!E248*1.05,-3)</f>
        <v>623000</v>
      </c>
      <c r="D248" s="16">
        <f>Employee_Data!E248</f>
        <v>593000</v>
      </c>
      <c r="E248" s="16">
        <f t="shared" si="15"/>
        <v>-30000</v>
      </c>
      <c r="F248" s="16">
        <f>ROUND(Employee_Data!G248*0.95,-3)</f>
        <v>17000</v>
      </c>
      <c r="G248" s="16">
        <f>Employee_Data!G248</f>
        <v>18000</v>
      </c>
      <c r="H248" s="16">
        <f t="shared" si="16"/>
        <v>1000</v>
      </c>
      <c r="I248" s="17">
        <f t="shared" si="17"/>
        <v>640000</v>
      </c>
      <c r="J248" s="17">
        <f t="shared" si="18"/>
        <v>611000</v>
      </c>
      <c r="K248" s="17">
        <f t="shared" si="19"/>
        <v>-29000</v>
      </c>
    </row>
    <row r="249" spans="1:11">
      <c r="A249" s="14" t="str">
        <f>Employee_Data!A249</f>
        <v>EMP0248</v>
      </c>
      <c r="B249" s="15" t="str">
        <f>Employee_Data!B249</f>
        <v>Sales</v>
      </c>
      <c r="C249" s="16">
        <f>ROUND(Employee_Data!E249*1.05,-3)</f>
        <v>1208000</v>
      </c>
      <c r="D249" s="16">
        <f>Employee_Data!E249</f>
        <v>1150000</v>
      </c>
      <c r="E249" s="16">
        <f t="shared" si="15"/>
        <v>-58000</v>
      </c>
      <c r="F249" s="16">
        <f>ROUND(Employee_Data!G249*0.95,-3)</f>
        <v>29000</v>
      </c>
      <c r="G249" s="16">
        <f>Employee_Data!G249</f>
        <v>30000</v>
      </c>
      <c r="H249" s="16">
        <f t="shared" si="16"/>
        <v>1000</v>
      </c>
      <c r="I249" s="17">
        <f t="shared" si="17"/>
        <v>1237000</v>
      </c>
      <c r="J249" s="17">
        <f t="shared" si="18"/>
        <v>1180000</v>
      </c>
      <c r="K249" s="17">
        <f t="shared" si="19"/>
        <v>-57000</v>
      </c>
    </row>
    <row r="250" spans="1:11">
      <c r="A250" s="14" t="str">
        <f>Employee_Data!A250</f>
        <v>EMP0249</v>
      </c>
      <c r="B250" s="15" t="str">
        <f>Employee_Data!B250</f>
        <v>Sales</v>
      </c>
      <c r="C250" s="16">
        <f>ROUND(Employee_Data!E250*1.05,-3)</f>
        <v>733000</v>
      </c>
      <c r="D250" s="16">
        <f>Employee_Data!E250</f>
        <v>698000</v>
      </c>
      <c r="E250" s="16">
        <f t="shared" si="15"/>
        <v>-35000</v>
      </c>
      <c r="F250" s="16">
        <f>ROUND(Employee_Data!G250*0.95,-3)</f>
        <v>33000</v>
      </c>
      <c r="G250" s="16">
        <f>Employee_Data!G250</f>
        <v>35000</v>
      </c>
      <c r="H250" s="16">
        <f t="shared" si="16"/>
        <v>2000</v>
      </c>
      <c r="I250" s="17">
        <f t="shared" si="17"/>
        <v>766000</v>
      </c>
      <c r="J250" s="17">
        <f t="shared" si="18"/>
        <v>733000</v>
      </c>
      <c r="K250" s="17">
        <f t="shared" si="19"/>
        <v>-33000</v>
      </c>
    </row>
    <row r="251" spans="1:11">
      <c r="A251" s="14" t="str">
        <f>Employee_Data!A251</f>
        <v>EMP0250</v>
      </c>
      <c r="B251" s="15" t="str">
        <f>Employee_Data!B251</f>
        <v>Sales</v>
      </c>
      <c r="C251" s="16">
        <f>ROUND(Employee_Data!E251*1.05,-3)</f>
        <v>643000</v>
      </c>
      <c r="D251" s="16">
        <f>Employee_Data!E251</f>
        <v>612000</v>
      </c>
      <c r="E251" s="16">
        <f t="shared" si="15"/>
        <v>-31000</v>
      </c>
      <c r="F251" s="16">
        <f>ROUND(Employee_Data!G251*0.95,-3)</f>
        <v>19000</v>
      </c>
      <c r="G251" s="16">
        <f>Employee_Data!G251</f>
        <v>20000</v>
      </c>
      <c r="H251" s="16">
        <f t="shared" si="16"/>
        <v>1000</v>
      </c>
      <c r="I251" s="17">
        <f t="shared" si="17"/>
        <v>662000</v>
      </c>
      <c r="J251" s="17">
        <f t="shared" si="18"/>
        <v>632000</v>
      </c>
      <c r="K251" s="17">
        <f t="shared" si="19"/>
        <v>-30000</v>
      </c>
    </row>
    <row r="252" spans="1:11">
      <c r="A252" s="14" t="str">
        <f>Employee_Data!A252</f>
        <v>EMP0251</v>
      </c>
      <c r="B252" s="15" t="str">
        <f>Employee_Data!B252</f>
        <v>Finance</v>
      </c>
      <c r="C252" s="16">
        <f>ROUND(Employee_Data!E252*1.05,-3)</f>
        <v>1075000</v>
      </c>
      <c r="D252" s="16">
        <f>Employee_Data!E252</f>
        <v>1024000</v>
      </c>
      <c r="E252" s="16">
        <f t="shared" si="15"/>
        <v>-51000</v>
      </c>
      <c r="F252" s="16">
        <f>ROUND(Employee_Data!G252*0.95,-3)</f>
        <v>17000</v>
      </c>
      <c r="G252" s="16">
        <f>Employee_Data!G252</f>
        <v>18000</v>
      </c>
      <c r="H252" s="16">
        <f t="shared" si="16"/>
        <v>1000</v>
      </c>
      <c r="I252" s="17">
        <f t="shared" si="17"/>
        <v>1092000</v>
      </c>
      <c r="J252" s="17">
        <f t="shared" si="18"/>
        <v>1042000</v>
      </c>
      <c r="K252" s="17">
        <f t="shared" si="19"/>
        <v>-50000</v>
      </c>
    </row>
    <row r="253" spans="1:11">
      <c r="A253" s="14" t="str">
        <f>Employee_Data!A253</f>
        <v>EMP0252</v>
      </c>
      <c r="B253" s="15" t="str">
        <f>Employee_Data!B253</f>
        <v>Finance</v>
      </c>
      <c r="C253" s="16">
        <f>ROUND(Employee_Data!E253*1.05,-3)</f>
        <v>651000</v>
      </c>
      <c r="D253" s="16">
        <f>Employee_Data!E253</f>
        <v>620000</v>
      </c>
      <c r="E253" s="16">
        <f t="shared" si="15"/>
        <v>-31000</v>
      </c>
      <c r="F253" s="16">
        <f>ROUND(Employee_Data!G253*0.95,-3)</f>
        <v>33000</v>
      </c>
      <c r="G253" s="16">
        <f>Employee_Data!G253</f>
        <v>35000</v>
      </c>
      <c r="H253" s="16">
        <f t="shared" si="16"/>
        <v>2000</v>
      </c>
      <c r="I253" s="17">
        <f t="shared" si="17"/>
        <v>684000</v>
      </c>
      <c r="J253" s="17">
        <f t="shared" si="18"/>
        <v>655000</v>
      </c>
      <c r="K253" s="17">
        <f t="shared" si="19"/>
        <v>-29000</v>
      </c>
    </row>
    <row r="254" spans="1:11">
      <c r="A254" s="14" t="str">
        <f>Employee_Data!A254</f>
        <v>EMP0253</v>
      </c>
      <c r="B254" s="15" t="str">
        <f>Employee_Data!B254</f>
        <v>Finance</v>
      </c>
      <c r="C254" s="16">
        <f>ROUND(Employee_Data!E254*1.05,-3)</f>
        <v>617000</v>
      </c>
      <c r="D254" s="16">
        <f>Employee_Data!E254</f>
        <v>588000</v>
      </c>
      <c r="E254" s="16">
        <f t="shared" si="15"/>
        <v>-29000</v>
      </c>
      <c r="F254" s="16">
        <f>ROUND(Employee_Data!G254*0.95,-3)</f>
        <v>29000</v>
      </c>
      <c r="G254" s="16">
        <f>Employee_Data!G254</f>
        <v>30000</v>
      </c>
      <c r="H254" s="16">
        <f t="shared" si="16"/>
        <v>1000</v>
      </c>
      <c r="I254" s="17">
        <f t="shared" si="17"/>
        <v>646000</v>
      </c>
      <c r="J254" s="17">
        <f t="shared" si="18"/>
        <v>618000</v>
      </c>
      <c r="K254" s="17">
        <f t="shared" si="19"/>
        <v>-28000</v>
      </c>
    </row>
    <row r="255" spans="1:11">
      <c r="A255" s="14" t="str">
        <f>Employee_Data!A255</f>
        <v>EMP0254</v>
      </c>
      <c r="B255" s="15" t="str">
        <f>Employee_Data!B255</f>
        <v>Finance</v>
      </c>
      <c r="C255" s="16">
        <f>ROUND(Employee_Data!E255*1.05,-3)</f>
        <v>1029000</v>
      </c>
      <c r="D255" s="16">
        <f>Employee_Data!E255</f>
        <v>980000</v>
      </c>
      <c r="E255" s="16">
        <f t="shared" si="15"/>
        <v>-49000</v>
      </c>
      <c r="F255" s="16">
        <f>ROUND(Employee_Data!G255*0.95,-3)</f>
        <v>27000</v>
      </c>
      <c r="G255" s="16">
        <f>Employee_Data!G255</f>
        <v>28000</v>
      </c>
      <c r="H255" s="16">
        <f t="shared" si="16"/>
        <v>1000</v>
      </c>
      <c r="I255" s="17">
        <f t="shared" si="17"/>
        <v>1056000</v>
      </c>
      <c r="J255" s="17">
        <f t="shared" si="18"/>
        <v>1008000</v>
      </c>
      <c r="K255" s="17">
        <f t="shared" si="19"/>
        <v>-48000</v>
      </c>
    </row>
    <row r="256" spans="1:11">
      <c r="A256" s="14" t="str">
        <f>Employee_Data!A256</f>
        <v>EMP0255</v>
      </c>
      <c r="B256" s="15" t="str">
        <f>Employee_Data!B256</f>
        <v>Finance</v>
      </c>
      <c r="C256" s="16">
        <f>ROUND(Employee_Data!E256*1.05,-3)</f>
        <v>716000</v>
      </c>
      <c r="D256" s="16">
        <f>Employee_Data!E256</f>
        <v>682000</v>
      </c>
      <c r="E256" s="16">
        <f t="shared" si="15"/>
        <v>-34000</v>
      </c>
      <c r="F256" s="16">
        <f>ROUND(Employee_Data!G256*0.95,-3)</f>
        <v>19000</v>
      </c>
      <c r="G256" s="16">
        <f>Employee_Data!G256</f>
        <v>20000</v>
      </c>
      <c r="H256" s="16">
        <f t="shared" si="16"/>
        <v>1000</v>
      </c>
      <c r="I256" s="17">
        <f t="shared" si="17"/>
        <v>735000</v>
      </c>
      <c r="J256" s="17">
        <f t="shared" si="18"/>
        <v>702000</v>
      </c>
      <c r="K256" s="17">
        <f t="shared" si="19"/>
        <v>-33000</v>
      </c>
    </row>
    <row r="257" spans="1:11">
      <c r="A257" s="14" t="str">
        <f>Employee_Data!A257</f>
        <v>EMP0256</v>
      </c>
      <c r="B257" s="15" t="str">
        <f>Employee_Data!B257</f>
        <v>Finance</v>
      </c>
      <c r="C257" s="16">
        <f>ROUND(Employee_Data!E257*1.05,-3)</f>
        <v>587000</v>
      </c>
      <c r="D257" s="16">
        <f>Employee_Data!E257</f>
        <v>559000</v>
      </c>
      <c r="E257" s="16">
        <f t="shared" si="15"/>
        <v>-28000</v>
      </c>
      <c r="F257" s="16">
        <f>ROUND(Employee_Data!G257*0.95,-3)</f>
        <v>29000</v>
      </c>
      <c r="G257" s="16">
        <f>Employee_Data!G257</f>
        <v>30000</v>
      </c>
      <c r="H257" s="16">
        <f t="shared" si="16"/>
        <v>1000</v>
      </c>
      <c r="I257" s="17">
        <f t="shared" si="17"/>
        <v>616000</v>
      </c>
      <c r="J257" s="17">
        <f t="shared" si="18"/>
        <v>589000</v>
      </c>
      <c r="K257" s="17">
        <f t="shared" si="19"/>
        <v>-27000</v>
      </c>
    </row>
    <row r="258" spans="1:11">
      <c r="A258" s="14" t="str">
        <f>Employee_Data!A258</f>
        <v>EMP0257</v>
      </c>
      <c r="B258" s="15" t="str">
        <f>Employee_Data!B258</f>
        <v>Finance</v>
      </c>
      <c r="C258" s="16">
        <f>ROUND(Employee_Data!E258*1.05,-3)</f>
        <v>579000</v>
      </c>
      <c r="D258" s="16">
        <f>Employee_Data!E258</f>
        <v>551000</v>
      </c>
      <c r="E258" s="16">
        <f t="shared" si="15"/>
        <v>-28000</v>
      </c>
      <c r="F258" s="16">
        <f>ROUND(Employee_Data!G258*0.95,-3)</f>
        <v>27000</v>
      </c>
      <c r="G258" s="16">
        <f>Employee_Data!G258</f>
        <v>28000</v>
      </c>
      <c r="H258" s="16">
        <f t="shared" si="16"/>
        <v>1000</v>
      </c>
      <c r="I258" s="17">
        <f t="shared" si="17"/>
        <v>606000</v>
      </c>
      <c r="J258" s="17">
        <f t="shared" si="18"/>
        <v>579000</v>
      </c>
      <c r="K258" s="17">
        <f t="shared" si="19"/>
        <v>-27000</v>
      </c>
    </row>
    <row r="259" spans="1:11">
      <c r="A259" s="14" t="str">
        <f>Employee_Data!A259</f>
        <v>EMP0258</v>
      </c>
      <c r="B259" s="15" t="str">
        <f>Employee_Data!B259</f>
        <v>Finance</v>
      </c>
      <c r="C259" s="16">
        <f>ROUND(Employee_Data!E259*1.05,-3)</f>
        <v>681000</v>
      </c>
      <c r="D259" s="16">
        <f>Employee_Data!E259</f>
        <v>649000</v>
      </c>
      <c r="E259" s="16">
        <f t="shared" ref="E259:E322" si="20">D259-C259</f>
        <v>-32000</v>
      </c>
      <c r="F259" s="16">
        <f>ROUND(Employee_Data!G259*0.95,-3)</f>
        <v>17000</v>
      </c>
      <c r="G259" s="16">
        <f>Employee_Data!G259</f>
        <v>18000</v>
      </c>
      <c r="H259" s="16">
        <f t="shared" ref="H259:H322" si="21">G259-F259</f>
        <v>1000</v>
      </c>
      <c r="I259" s="17">
        <f t="shared" ref="I259:I322" si="22">C259+F259</f>
        <v>698000</v>
      </c>
      <c r="J259" s="17">
        <f t="shared" ref="J259:J322" si="23">D259+G259</f>
        <v>667000</v>
      </c>
      <c r="K259" s="17">
        <f t="shared" ref="K259:K322" si="24">J259-I259</f>
        <v>-31000</v>
      </c>
    </row>
    <row r="260" spans="1:11">
      <c r="A260" s="14" t="str">
        <f>Employee_Data!A260</f>
        <v>EMP0259</v>
      </c>
      <c r="B260" s="15" t="str">
        <f>Employee_Data!B260</f>
        <v>Finance</v>
      </c>
      <c r="C260" s="16">
        <f>ROUND(Employee_Data!E260*1.05,-3)</f>
        <v>978000</v>
      </c>
      <c r="D260" s="16">
        <f>Employee_Data!E260</f>
        <v>931000</v>
      </c>
      <c r="E260" s="16">
        <f t="shared" si="20"/>
        <v>-47000</v>
      </c>
      <c r="F260" s="16">
        <f>ROUND(Employee_Data!G260*0.95,-3)</f>
        <v>19000</v>
      </c>
      <c r="G260" s="16">
        <f>Employee_Data!G260</f>
        <v>20000</v>
      </c>
      <c r="H260" s="16">
        <f t="shared" si="21"/>
        <v>1000</v>
      </c>
      <c r="I260" s="17">
        <f t="shared" si="22"/>
        <v>997000</v>
      </c>
      <c r="J260" s="17">
        <f t="shared" si="23"/>
        <v>951000</v>
      </c>
      <c r="K260" s="17">
        <f t="shared" si="24"/>
        <v>-46000</v>
      </c>
    </row>
    <row r="261" spans="1:11">
      <c r="A261" s="14" t="str">
        <f>Employee_Data!A261</f>
        <v>EMP0260</v>
      </c>
      <c r="B261" s="15" t="str">
        <f>Employee_Data!B261</f>
        <v>Finance</v>
      </c>
      <c r="C261" s="16">
        <f>ROUND(Employee_Data!E261*1.05,-3)</f>
        <v>1066000</v>
      </c>
      <c r="D261" s="16">
        <f>Employee_Data!E261</f>
        <v>1015000</v>
      </c>
      <c r="E261" s="16">
        <f t="shared" si="20"/>
        <v>-51000</v>
      </c>
      <c r="F261" s="16">
        <f>ROUND(Employee_Data!G261*0.95,-3)</f>
        <v>19000</v>
      </c>
      <c r="G261" s="16">
        <f>Employee_Data!G261</f>
        <v>20000</v>
      </c>
      <c r="H261" s="16">
        <f t="shared" si="21"/>
        <v>1000</v>
      </c>
      <c r="I261" s="17">
        <f t="shared" si="22"/>
        <v>1085000</v>
      </c>
      <c r="J261" s="17">
        <f t="shared" si="23"/>
        <v>1035000</v>
      </c>
      <c r="K261" s="17">
        <f t="shared" si="24"/>
        <v>-50000</v>
      </c>
    </row>
    <row r="262" spans="1:11">
      <c r="A262" s="14" t="str">
        <f>Employee_Data!A262</f>
        <v>EMP0261</v>
      </c>
      <c r="B262" s="15" t="str">
        <f>Employee_Data!B262</f>
        <v>Finance</v>
      </c>
      <c r="C262" s="16">
        <f>ROUND(Employee_Data!E262*1.05,-3)</f>
        <v>733000</v>
      </c>
      <c r="D262" s="16">
        <f>Employee_Data!E262</f>
        <v>698000</v>
      </c>
      <c r="E262" s="16">
        <f t="shared" si="20"/>
        <v>-35000</v>
      </c>
      <c r="F262" s="16">
        <f>ROUND(Employee_Data!G262*0.95,-3)</f>
        <v>14000</v>
      </c>
      <c r="G262" s="16">
        <f>Employee_Data!G262</f>
        <v>15000</v>
      </c>
      <c r="H262" s="16">
        <f t="shared" si="21"/>
        <v>1000</v>
      </c>
      <c r="I262" s="17">
        <f t="shared" si="22"/>
        <v>747000</v>
      </c>
      <c r="J262" s="17">
        <f t="shared" si="23"/>
        <v>713000</v>
      </c>
      <c r="K262" s="17">
        <f t="shared" si="24"/>
        <v>-34000</v>
      </c>
    </row>
    <row r="263" spans="1:11">
      <c r="A263" s="14" t="str">
        <f>Employee_Data!A263</f>
        <v>EMP0262</v>
      </c>
      <c r="B263" s="15" t="str">
        <f>Employee_Data!B263</f>
        <v>Finance</v>
      </c>
      <c r="C263" s="16">
        <f>ROUND(Employee_Data!E263*1.05,-3)</f>
        <v>848000</v>
      </c>
      <c r="D263" s="16">
        <f>Employee_Data!E263</f>
        <v>808000</v>
      </c>
      <c r="E263" s="16">
        <f t="shared" si="20"/>
        <v>-40000</v>
      </c>
      <c r="F263" s="16">
        <f>ROUND(Employee_Data!G263*0.95,-3)</f>
        <v>19000</v>
      </c>
      <c r="G263" s="16">
        <f>Employee_Data!G263</f>
        <v>20000</v>
      </c>
      <c r="H263" s="16">
        <f t="shared" si="21"/>
        <v>1000</v>
      </c>
      <c r="I263" s="17">
        <f t="shared" si="22"/>
        <v>867000</v>
      </c>
      <c r="J263" s="17">
        <f t="shared" si="23"/>
        <v>828000</v>
      </c>
      <c r="K263" s="17">
        <f t="shared" si="24"/>
        <v>-39000</v>
      </c>
    </row>
    <row r="264" spans="1:11">
      <c r="A264" s="14" t="str">
        <f>Employee_Data!A264</f>
        <v>EMP0263</v>
      </c>
      <c r="B264" s="15" t="str">
        <f>Employee_Data!B264</f>
        <v>Finance</v>
      </c>
      <c r="C264" s="16">
        <f>ROUND(Employee_Data!E264*1.05,-3)</f>
        <v>954000</v>
      </c>
      <c r="D264" s="16">
        <f>Employee_Data!E264</f>
        <v>909000</v>
      </c>
      <c r="E264" s="16">
        <f t="shared" si="20"/>
        <v>-45000</v>
      </c>
      <c r="F264" s="16">
        <f>ROUND(Employee_Data!G264*0.95,-3)</f>
        <v>19000</v>
      </c>
      <c r="G264" s="16">
        <f>Employee_Data!G264</f>
        <v>20000</v>
      </c>
      <c r="H264" s="16">
        <f t="shared" si="21"/>
        <v>1000</v>
      </c>
      <c r="I264" s="17">
        <f t="shared" si="22"/>
        <v>973000</v>
      </c>
      <c r="J264" s="17">
        <f t="shared" si="23"/>
        <v>929000</v>
      </c>
      <c r="K264" s="17">
        <f t="shared" si="24"/>
        <v>-44000</v>
      </c>
    </row>
    <row r="265" spans="1:11">
      <c r="A265" s="14" t="str">
        <f>Employee_Data!A265</f>
        <v>EMP0264</v>
      </c>
      <c r="B265" s="15" t="str">
        <f>Employee_Data!B265</f>
        <v>Finance</v>
      </c>
      <c r="C265" s="16">
        <f>ROUND(Employee_Data!E265*1.05,-3)</f>
        <v>669000</v>
      </c>
      <c r="D265" s="16">
        <f>Employee_Data!E265</f>
        <v>637000</v>
      </c>
      <c r="E265" s="16">
        <f t="shared" si="20"/>
        <v>-32000</v>
      </c>
      <c r="F265" s="16">
        <f>ROUND(Employee_Data!G265*0.95,-3)</f>
        <v>33000</v>
      </c>
      <c r="G265" s="16">
        <f>Employee_Data!G265</f>
        <v>35000</v>
      </c>
      <c r="H265" s="16">
        <f t="shared" si="21"/>
        <v>2000</v>
      </c>
      <c r="I265" s="17">
        <f t="shared" si="22"/>
        <v>702000</v>
      </c>
      <c r="J265" s="17">
        <f t="shared" si="23"/>
        <v>672000</v>
      </c>
      <c r="K265" s="17">
        <f t="shared" si="24"/>
        <v>-30000</v>
      </c>
    </row>
    <row r="266" spans="1:11">
      <c r="A266" s="14" t="str">
        <f>Employee_Data!A266</f>
        <v>EMP0265</v>
      </c>
      <c r="B266" s="15" t="str">
        <f>Employee_Data!B266</f>
        <v>Finance</v>
      </c>
      <c r="C266" s="16">
        <f>ROUND(Employee_Data!E266*1.05,-3)</f>
        <v>958000</v>
      </c>
      <c r="D266" s="16">
        <f>Employee_Data!E266</f>
        <v>912000</v>
      </c>
      <c r="E266" s="16">
        <f t="shared" si="20"/>
        <v>-46000</v>
      </c>
      <c r="F266" s="16">
        <f>ROUND(Employee_Data!G266*0.95,-3)</f>
        <v>21000</v>
      </c>
      <c r="G266" s="16">
        <f>Employee_Data!G266</f>
        <v>22000</v>
      </c>
      <c r="H266" s="16">
        <f t="shared" si="21"/>
        <v>1000</v>
      </c>
      <c r="I266" s="17">
        <f t="shared" si="22"/>
        <v>979000</v>
      </c>
      <c r="J266" s="17">
        <f t="shared" si="23"/>
        <v>934000</v>
      </c>
      <c r="K266" s="17">
        <f t="shared" si="24"/>
        <v>-45000</v>
      </c>
    </row>
    <row r="267" spans="1:11">
      <c r="A267" s="14" t="str">
        <f>Employee_Data!A267</f>
        <v>EMP0266</v>
      </c>
      <c r="B267" s="15" t="str">
        <f>Employee_Data!B267</f>
        <v>Finance</v>
      </c>
      <c r="C267" s="16">
        <f>ROUND(Employee_Data!E267*1.05,-3)</f>
        <v>896000</v>
      </c>
      <c r="D267" s="16">
        <f>Employee_Data!E267</f>
        <v>853000</v>
      </c>
      <c r="E267" s="16">
        <f t="shared" si="20"/>
        <v>-43000</v>
      </c>
      <c r="F267" s="16">
        <f>ROUND(Employee_Data!G267*0.95,-3)</f>
        <v>27000</v>
      </c>
      <c r="G267" s="16">
        <f>Employee_Data!G267</f>
        <v>28000</v>
      </c>
      <c r="H267" s="16">
        <f t="shared" si="21"/>
        <v>1000</v>
      </c>
      <c r="I267" s="17">
        <f t="shared" si="22"/>
        <v>923000</v>
      </c>
      <c r="J267" s="17">
        <f t="shared" si="23"/>
        <v>881000</v>
      </c>
      <c r="K267" s="17">
        <f t="shared" si="24"/>
        <v>-42000</v>
      </c>
    </row>
    <row r="268" spans="1:11">
      <c r="A268" s="14" t="str">
        <f>Employee_Data!A268</f>
        <v>EMP0267</v>
      </c>
      <c r="B268" s="15" t="str">
        <f>Employee_Data!B268</f>
        <v>Finance</v>
      </c>
      <c r="C268" s="16">
        <f>ROUND(Employee_Data!E268*1.05,-3)</f>
        <v>628000</v>
      </c>
      <c r="D268" s="16">
        <f>Employee_Data!E268</f>
        <v>598000</v>
      </c>
      <c r="E268" s="16">
        <f t="shared" si="20"/>
        <v>-30000</v>
      </c>
      <c r="F268" s="16">
        <f>ROUND(Employee_Data!G268*0.95,-3)</f>
        <v>29000</v>
      </c>
      <c r="G268" s="16">
        <f>Employee_Data!G268</f>
        <v>30000</v>
      </c>
      <c r="H268" s="16">
        <f t="shared" si="21"/>
        <v>1000</v>
      </c>
      <c r="I268" s="17">
        <f t="shared" si="22"/>
        <v>657000</v>
      </c>
      <c r="J268" s="17">
        <f t="shared" si="23"/>
        <v>628000</v>
      </c>
      <c r="K268" s="17">
        <f t="shared" si="24"/>
        <v>-29000</v>
      </c>
    </row>
    <row r="269" spans="1:11">
      <c r="A269" s="14" t="str">
        <f>Employee_Data!A269</f>
        <v>EMP0268</v>
      </c>
      <c r="B269" s="15" t="str">
        <f>Employee_Data!B269</f>
        <v>Finance</v>
      </c>
      <c r="C269" s="16">
        <f>ROUND(Employee_Data!E269*1.05,-3)</f>
        <v>933000</v>
      </c>
      <c r="D269" s="16">
        <f>Employee_Data!E269</f>
        <v>889000</v>
      </c>
      <c r="E269" s="16">
        <f t="shared" si="20"/>
        <v>-44000</v>
      </c>
      <c r="F269" s="16">
        <f>ROUND(Employee_Data!G269*0.95,-3)</f>
        <v>19000</v>
      </c>
      <c r="G269" s="16">
        <f>Employee_Data!G269</f>
        <v>20000</v>
      </c>
      <c r="H269" s="16">
        <f t="shared" si="21"/>
        <v>1000</v>
      </c>
      <c r="I269" s="17">
        <f t="shared" si="22"/>
        <v>952000</v>
      </c>
      <c r="J269" s="17">
        <f t="shared" si="23"/>
        <v>909000</v>
      </c>
      <c r="K269" s="17">
        <f t="shared" si="24"/>
        <v>-43000</v>
      </c>
    </row>
    <row r="270" spans="1:11">
      <c r="A270" s="14" t="str">
        <f>Employee_Data!A270</f>
        <v>EMP0269</v>
      </c>
      <c r="B270" s="15" t="str">
        <f>Employee_Data!B270</f>
        <v>Finance</v>
      </c>
      <c r="C270" s="16">
        <f>ROUND(Employee_Data!E270*1.05,-3)</f>
        <v>687000</v>
      </c>
      <c r="D270" s="16">
        <f>Employee_Data!E270</f>
        <v>654000</v>
      </c>
      <c r="E270" s="16">
        <f t="shared" si="20"/>
        <v>-33000</v>
      </c>
      <c r="F270" s="16">
        <f>ROUND(Employee_Data!G270*0.95,-3)</f>
        <v>17000</v>
      </c>
      <c r="G270" s="16">
        <f>Employee_Data!G270</f>
        <v>18000</v>
      </c>
      <c r="H270" s="16">
        <f t="shared" si="21"/>
        <v>1000</v>
      </c>
      <c r="I270" s="17">
        <f t="shared" si="22"/>
        <v>704000</v>
      </c>
      <c r="J270" s="17">
        <f t="shared" si="23"/>
        <v>672000</v>
      </c>
      <c r="K270" s="17">
        <f t="shared" si="24"/>
        <v>-32000</v>
      </c>
    </row>
    <row r="271" spans="1:11">
      <c r="A271" s="14" t="str">
        <f>Employee_Data!A271</f>
        <v>EMP0270</v>
      </c>
      <c r="B271" s="15" t="str">
        <f>Employee_Data!B271</f>
        <v>Finance</v>
      </c>
      <c r="C271" s="16">
        <f>ROUND(Employee_Data!E271*1.05,-3)</f>
        <v>584000</v>
      </c>
      <c r="D271" s="16">
        <f>Employee_Data!E271</f>
        <v>556000</v>
      </c>
      <c r="E271" s="16">
        <f t="shared" si="20"/>
        <v>-28000</v>
      </c>
      <c r="F271" s="16">
        <f>ROUND(Employee_Data!G271*0.95,-3)</f>
        <v>19000</v>
      </c>
      <c r="G271" s="16">
        <f>Employee_Data!G271</f>
        <v>20000</v>
      </c>
      <c r="H271" s="16">
        <f t="shared" si="21"/>
        <v>1000</v>
      </c>
      <c r="I271" s="17">
        <f t="shared" si="22"/>
        <v>603000</v>
      </c>
      <c r="J271" s="17">
        <f t="shared" si="23"/>
        <v>576000</v>
      </c>
      <c r="K271" s="17">
        <f t="shared" si="24"/>
        <v>-27000</v>
      </c>
    </row>
    <row r="272" spans="1:11">
      <c r="A272" s="14" t="str">
        <f>Employee_Data!A272</f>
        <v>EMP0271</v>
      </c>
      <c r="B272" s="15" t="str">
        <f>Employee_Data!B272</f>
        <v>Finance</v>
      </c>
      <c r="C272" s="16">
        <f>ROUND(Employee_Data!E272*1.05,-3)</f>
        <v>763000</v>
      </c>
      <c r="D272" s="16">
        <f>Employee_Data!E272</f>
        <v>727000</v>
      </c>
      <c r="E272" s="16">
        <f t="shared" si="20"/>
        <v>-36000</v>
      </c>
      <c r="F272" s="16">
        <f>ROUND(Employee_Data!G272*0.95,-3)</f>
        <v>21000</v>
      </c>
      <c r="G272" s="16">
        <f>Employee_Data!G272</f>
        <v>22000</v>
      </c>
      <c r="H272" s="16">
        <f t="shared" si="21"/>
        <v>1000</v>
      </c>
      <c r="I272" s="17">
        <f t="shared" si="22"/>
        <v>784000</v>
      </c>
      <c r="J272" s="17">
        <f t="shared" si="23"/>
        <v>749000</v>
      </c>
      <c r="K272" s="17">
        <f t="shared" si="24"/>
        <v>-35000</v>
      </c>
    </row>
    <row r="273" spans="1:11">
      <c r="A273" s="14" t="str">
        <f>Employee_Data!A273</f>
        <v>EMP0272</v>
      </c>
      <c r="B273" s="15" t="str">
        <f>Employee_Data!B273</f>
        <v>Finance</v>
      </c>
      <c r="C273" s="16">
        <f>ROUND(Employee_Data!E273*1.05,-3)</f>
        <v>905000</v>
      </c>
      <c r="D273" s="16">
        <f>Employee_Data!E273</f>
        <v>862000</v>
      </c>
      <c r="E273" s="16">
        <f t="shared" si="20"/>
        <v>-43000</v>
      </c>
      <c r="F273" s="16">
        <f>ROUND(Employee_Data!G273*0.95,-3)</f>
        <v>29000</v>
      </c>
      <c r="G273" s="16">
        <f>Employee_Data!G273</f>
        <v>30000</v>
      </c>
      <c r="H273" s="16">
        <f t="shared" si="21"/>
        <v>1000</v>
      </c>
      <c r="I273" s="17">
        <f t="shared" si="22"/>
        <v>934000</v>
      </c>
      <c r="J273" s="17">
        <f t="shared" si="23"/>
        <v>892000</v>
      </c>
      <c r="K273" s="17">
        <f t="shared" si="24"/>
        <v>-42000</v>
      </c>
    </row>
    <row r="274" spans="1:11">
      <c r="A274" s="14" t="str">
        <f>Employee_Data!A274</f>
        <v>EMP0273</v>
      </c>
      <c r="B274" s="15" t="str">
        <f>Employee_Data!B274</f>
        <v>Finance</v>
      </c>
      <c r="C274" s="16">
        <f>ROUND(Employee_Data!E274*1.05,-3)</f>
        <v>763000</v>
      </c>
      <c r="D274" s="16">
        <f>Employee_Data!E274</f>
        <v>727000</v>
      </c>
      <c r="E274" s="16">
        <f t="shared" si="20"/>
        <v>-36000</v>
      </c>
      <c r="F274" s="16">
        <f>ROUND(Employee_Data!G274*0.95,-3)</f>
        <v>14000</v>
      </c>
      <c r="G274" s="16">
        <f>Employee_Data!G274</f>
        <v>15000</v>
      </c>
      <c r="H274" s="16">
        <f t="shared" si="21"/>
        <v>1000</v>
      </c>
      <c r="I274" s="17">
        <f t="shared" si="22"/>
        <v>777000</v>
      </c>
      <c r="J274" s="17">
        <f t="shared" si="23"/>
        <v>742000</v>
      </c>
      <c r="K274" s="17">
        <f t="shared" si="24"/>
        <v>-35000</v>
      </c>
    </row>
    <row r="275" spans="1:11">
      <c r="A275" s="14" t="str">
        <f>Employee_Data!A275</f>
        <v>EMP0274</v>
      </c>
      <c r="B275" s="15" t="str">
        <f>Employee_Data!B275</f>
        <v>Finance</v>
      </c>
      <c r="C275" s="16">
        <f>ROUND(Employee_Data!E275*1.05,-3)</f>
        <v>721000</v>
      </c>
      <c r="D275" s="16">
        <f>Employee_Data!E275</f>
        <v>687000</v>
      </c>
      <c r="E275" s="16">
        <f t="shared" si="20"/>
        <v>-34000</v>
      </c>
      <c r="F275" s="16">
        <f>ROUND(Employee_Data!G275*0.95,-3)</f>
        <v>19000</v>
      </c>
      <c r="G275" s="16">
        <f>Employee_Data!G275</f>
        <v>20000</v>
      </c>
      <c r="H275" s="16">
        <f t="shared" si="21"/>
        <v>1000</v>
      </c>
      <c r="I275" s="17">
        <f t="shared" si="22"/>
        <v>740000</v>
      </c>
      <c r="J275" s="17">
        <f t="shared" si="23"/>
        <v>707000</v>
      </c>
      <c r="K275" s="17">
        <f t="shared" si="24"/>
        <v>-33000</v>
      </c>
    </row>
    <row r="276" spans="1:11">
      <c r="A276" s="14" t="str">
        <f>Employee_Data!A276</f>
        <v>EMP0275</v>
      </c>
      <c r="B276" s="15" t="str">
        <f>Employee_Data!B276</f>
        <v>Finance</v>
      </c>
      <c r="C276" s="16">
        <f>ROUND(Employee_Data!E276*1.05,-3)</f>
        <v>739000</v>
      </c>
      <c r="D276" s="16">
        <f>Employee_Data!E276</f>
        <v>704000</v>
      </c>
      <c r="E276" s="16">
        <f t="shared" si="20"/>
        <v>-35000</v>
      </c>
      <c r="F276" s="16">
        <f>ROUND(Employee_Data!G276*0.95,-3)</f>
        <v>19000</v>
      </c>
      <c r="G276" s="16">
        <f>Employee_Data!G276</f>
        <v>20000</v>
      </c>
      <c r="H276" s="16">
        <f t="shared" si="21"/>
        <v>1000</v>
      </c>
      <c r="I276" s="17">
        <f t="shared" si="22"/>
        <v>758000</v>
      </c>
      <c r="J276" s="17">
        <f t="shared" si="23"/>
        <v>724000</v>
      </c>
      <c r="K276" s="17">
        <f t="shared" si="24"/>
        <v>-34000</v>
      </c>
    </row>
    <row r="277" spans="1:11">
      <c r="A277" s="14" t="str">
        <f>Employee_Data!A277</f>
        <v>EMP0276</v>
      </c>
      <c r="B277" s="15" t="str">
        <f>Employee_Data!B277</f>
        <v>Finance</v>
      </c>
      <c r="C277" s="16">
        <f>ROUND(Employee_Data!E277*1.05,-3)</f>
        <v>652000</v>
      </c>
      <c r="D277" s="16">
        <f>Employee_Data!E277</f>
        <v>621000</v>
      </c>
      <c r="E277" s="16">
        <f t="shared" si="20"/>
        <v>-31000</v>
      </c>
      <c r="F277" s="16">
        <f>ROUND(Employee_Data!G277*0.95,-3)</f>
        <v>14000</v>
      </c>
      <c r="G277" s="16">
        <f>Employee_Data!G277</f>
        <v>15000</v>
      </c>
      <c r="H277" s="16">
        <f t="shared" si="21"/>
        <v>1000</v>
      </c>
      <c r="I277" s="17">
        <f t="shared" si="22"/>
        <v>666000</v>
      </c>
      <c r="J277" s="17">
        <f t="shared" si="23"/>
        <v>636000</v>
      </c>
      <c r="K277" s="17">
        <f t="shared" si="24"/>
        <v>-30000</v>
      </c>
    </row>
    <row r="278" spans="1:11">
      <c r="A278" s="14" t="str">
        <f>Employee_Data!A278</f>
        <v>EMP0277</v>
      </c>
      <c r="B278" s="15" t="str">
        <f>Employee_Data!B278</f>
        <v>Finance</v>
      </c>
      <c r="C278" s="16">
        <f>ROUND(Employee_Data!E278*1.05,-3)</f>
        <v>911000</v>
      </c>
      <c r="D278" s="16">
        <f>Employee_Data!E278</f>
        <v>868000</v>
      </c>
      <c r="E278" s="16">
        <f t="shared" si="20"/>
        <v>-43000</v>
      </c>
      <c r="F278" s="16">
        <f>ROUND(Employee_Data!G278*0.95,-3)</f>
        <v>29000</v>
      </c>
      <c r="G278" s="16">
        <f>Employee_Data!G278</f>
        <v>30000</v>
      </c>
      <c r="H278" s="16">
        <f t="shared" si="21"/>
        <v>1000</v>
      </c>
      <c r="I278" s="17">
        <f t="shared" si="22"/>
        <v>940000</v>
      </c>
      <c r="J278" s="17">
        <f t="shared" si="23"/>
        <v>898000</v>
      </c>
      <c r="K278" s="17">
        <f t="shared" si="24"/>
        <v>-42000</v>
      </c>
    </row>
    <row r="279" spans="1:11">
      <c r="A279" s="14" t="str">
        <f>Employee_Data!A279</f>
        <v>EMP0278</v>
      </c>
      <c r="B279" s="15" t="str">
        <f>Employee_Data!B279</f>
        <v>Finance</v>
      </c>
      <c r="C279" s="16">
        <f>ROUND(Employee_Data!E279*1.05,-3)</f>
        <v>659000</v>
      </c>
      <c r="D279" s="16">
        <f>Employee_Data!E279</f>
        <v>628000</v>
      </c>
      <c r="E279" s="16">
        <f t="shared" si="20"/>
        <v>-31000</v>
      </c>
      <c r="F279" s="16">
        <f>ROUND(Employee_Data!G279*0.95,-3)</f>
        <v>29000</v>
      </c>
      <c r="G279" s="16">
        <f>Employee_Data!G279</f>
        <v>30000</v>
      </c>
      <c r="H279" s="16">
        <f t="shared" si="21"/>
        <v>1000</v>
      </c>
      <c r="I279" s="17">
        <f t="shared" si="22"/>
        <v>688000</v>
      </c>
      <c r="J279" s="17">
        <f t="shared" si="23"/>
        <v>658000</v>
      </c>
      <c r="K279" s="17">
        <f t="shared" si="24"/>
        <v>-30000</v>
      </c>
    </row>
    <row r="280" spans="1:11">
      <c r="A280" s="14" t="str">
        <f>Employee_Data!A280</f>
        <v>EMP0279</v>
      </c>
      <c r="B280" s="15" t="str">
        <f>Employee_Data!B280</f>
        <v>Finance</v>
      </c>
      <c r="C280" s="16">
        <f>ROUND(Employee_Data!E280*1.05,-3)</f>
        <v>575000</v>
      </c>
      <c r="D280" s="16">
        <f>Employee_Data!E280</f>
        <v>548000</v>
      </c>
      <c r="E280" s="16">
        <f t="shared" si="20"/>
        <v>-27000</v>
      </c>
      <c r="F280" s="16">
        <f>ROUND(Employee_Data!G280*0.95,-3)</f>
        <v>33000</v>
      </c>
      <c r="G280" s="16">
        <f>Employee_Data!G280</f>
        <v>35000</v>
      </c>
      <c r="H280" s="16">
        <f t="shared" si="21"/>
        <v>2000</v>
      </c>
      <c r="I280" s="17">
        <f t="shared" si="22"/>
        <v>608000</v>
      </c>
      <c r="J280" s="17">
        <f t="shared" si="23"/>
        <v>583000</v>
      </c>
      <c r="K280" s="17">
        <f t="shared" si="24"/>
        <v>-25000</v>
      </c>
    </row>
    <row r="281" spans="1:11">
      <c r="A281" s="14" t="str">
        <f>Employee_Data!A281</f>
        <v>EMP0280</v>
      </c>
      <c r="B281" s="15" t="str">
        <f>Employee_Data!B281</f>
        <v>Finance</v>
      </c>
      <c r="C281" s="16">
        <f>ROUND(Employee_Data!E281*1.05,-3)</f>
        <v>692000</v>
      </c>
      <c r="D281" s="16">
        <f>Employee_Data!E281</f>
        <v>659000</v>
      </c>
      <c r="E281" s="16">
        <f t="shared" si="20"/>
        <v>-33000</v>
      </c>
      <c r="F281" s="16">
        <f>ROUND(Employee_Data!G281*0.95,-3)</f>
        <v>19000</v>
      </c>
      <c r="G281" s="16">
        <f>Employee_Data!G281</f>
        <v>20000</v>
      </c>
      <c r="H281" s="16">
        <f t="shared" si="21"/>
        <v>1000</v>
      </c>
      <c r="I281" s="17">
        <f t="shared" si="22"/>
        <v>711000</v>
      </c>
      <c r="J281" s="17">
        <f t="shared" si="23"/>
        <v>679000</v>
      </c>
      <c r="K281" s="17">
        <f t="shared" si="24"/>
        <v>-32000</v>
      </c>
    </row>
    <row r="282" spans="1:11">
      <c r="A282" s="14" t="str">
        <f>Employee_Data!A282</f>
        <v>EMP0281</v>
      </c>
      <c r="B282" s="15" t="str">
        <f>Employee_Data!B282</f>
        <v>Finance</v>
      </c>
      <c r="C282" s="16">
        <f>ROUND(Employee_Data!E282*1.05,-3)</f>
        <v>667000</v>
      </c>
      <c r="D282" s="16">
        <f>Employee_Data!E282</f>
        <v>635000</v>
      </c>
      <c r="E282" s="16">
        <f t="shared" si="20"/>
        <v>-32000</v>
      </c>
      <c r="F282" s="16">
        <f>ROUND(Employee_Data!G282*0.95,-3)</f>
        <v>19000</v>
      </c>
      <c r="G282" s="16">
        <f>Employee_Data!G282</f>
        <v>20000</v>
      </c>
      <c r="H282" s="16">
        <f t="shared" si="21"/>
        <v>1000</v>
      </c>
      <c r="I282" s="17">
        <f t="shared" si="22"/>
        <v>686000</v>
      </c>
      <c r="J282" s="17">
        <f t="shared" si="23"/>
        <v>655000</v>
      </c>
      <c r="K282" s="17">
        <f t="shared" si="24"/>
        <v>-31000</v>
      </c>
    </row>
    <row r="283" spans="1:11">
      <c r="A283" s="14" t="str">
        <f>Employee_Data!A283</f>
        <v>EMP0282</v>
      </c>
      <c r="B283" s="15" t="str">
        <f>Employee_Data!B283</f>
        <v>Finance</v>
      </c>
      <c r="C283" s="16">
        <f>ROUND(Employee_Data!E283*1.05,-3)</f>
        <v>760000</v>
      </c>
      <c r="D283" s="16">
        <f>Employee_Data!E283</f>
        <v>724000</v>
      </c>
      <c r="E283" s="16">
        <f t="shared" si="20"/>
        <v>-36000</v>
      </c>
      <c r="F283" s="16">
        <f>ROUND(Employee_Data!G283*0.95,-3)</f>
        <v>14000</v>
      </c>
      <c r="G283" s="16">
        <f>Employee_Data!G283</f>
        <v>15000</v>
      </c>
      <c r="H283" s="16">
        <f t="shared" si="21"/>
        <v>1000</v>
      </c>
      <c r="I283" s="17">
        <f t="shared" si="22"/>
        <v>774000</v>
      </c>
      <c r="J283" s="17">
        <f t="shared" si="23"/>
        <v>739000</v>
      </c>
      <c r="K283" s="17">
        <f t="shared" si="24"/>
        <v>-35000</v>
      </c>
    </row>
    <row r="284" spans="1:11">
      <c r="A284" s="14" t="str">
        <f>Employee_Data!A284</f>
        <v>EMP0283</v>
      </c>
      <c r="B284" s="15" t="str">
        <f>Employee_Data!B284</f>
        <v>Finance</v>
      </c>
      <c r="C284" s="16">
        <f>ROUND(Employee_Data!E284*1.05,-3)</f>
        <v>655000</v>
      </c>
      <c r="D284" s="16">
        <f>Employee_Data!E284</f>
        <v>624000</v>
      </c>
      <c r="E284" s="16">
        <f t="shared" si="20"/>
        <v>-31000</v>
      </c>
      <c r="F284" s="16">
        <f>ROUND(Employee_Data!G284*0.95,-3)</f>
        <v>24000</v>
      </c>
      <c r="G284" s="16">
        <f>Employee_Data!G284</f>
        <v>25000</v>
      </c>
      <c r="H284" s="16">
        <f t="shared" si="21"/>
        <v>1000</v>
      </c>
      <c r="I284" s="17">
        <f t="shared" si="22"/>
        <v>679000</v>
      </c>
      <c r="J284" s="17">
        <f t="shared" si="23"/>
        <v>649000</v>
      </c>
      <c r="K284" s="17">
        <f t="shared" si="24"/>
        <v>-30000</v>
      </c>
    </row>
    <row r="285" spans="1:11">
      <c r="A285" s="14" t="str">
        <f>Employee_Data!A285</f>
        <v>EMP0284</v>
      </c>
      <c r="B285" s="15" t="str">
        <f>Employee_Data!B285</f>
        <v>Finance</v>
      </c>
      <c r="C285" s="16">
        <f>ROUND(Employee_Data!E285*1.05,-3)</f>
        <v>912000</v>
      </c>
      <c r="D285" s="16">
        <f>Employee_Data!E285</f>
        <v>869000</v>
      </c>
      <c r="E285" s="16">
        <f t="shared" si="20"/>
        <v>-43000</v>
      </c>
      <c r="F285" s="16">
        <f>ROUND(Employee_Data!G285*0.95,-3)</f>
        <v>17000</v>
      </c>
      <c r="G285" s="16">
        <f>Employee_Data!G285</f>
        <v>18000</v>
      </c>
      <c r="H285" s="16">
        <f t="shared" si="21"/>
        <v>1000</v>
      </c>
      <c r="I285" s="17">
        <f t="shared" si="22"/>
        <v>929000</v>
      </c>
      <c r="J285" s="17">
        <f t="shared" si="23"/>
        <v>887000</v>
      </c>
      <c r="K285" s="17">
        <f t="shared" si="24"/>
        <v>-42000</v>
      </c>
    </row>
    <row r="286" spans="1:11">
      <c r="A286" s="14" t="str">
        <f>Employee_Data!A286</f>
        <v>EMP0285</v>
      </c>
      <c r="B286" s="15" t="str">
        <f>Employee_Data!B286</f>
        <v>Finance</v>
      </c>
      <c r="C286" s="16">
        <f>ROUND(Employee_Data!E286*1.05,-3)</f>
        <v>868000</v>
      </c>
      <c r="D286" s="16">
        <f>Employee_Data!E286</f>
        <v>827000</v>
      </c>
      <c r="E286" s="16">
        <f t="shared" si="20"/>
        <v>-41000</v>
      </c>
      <c r="F286" s="16">
        <f>ROUND(Employee_Data!G286*0.95,-3)</f>
        <v>27000</v>
      </c>
      <c r="G286" s="16">
        <f>Employee_Data!G286</f>
        <v>28000</v>
      </c>
      <c r="H286" s="16">
        <f t="shared" si="21"/>
        <v>1000</v>
      </c>
      <c r="I286" s="17">
        <f t="shared" si="22"/>
        <v>895000</v>
      </c>
      <c r="J286" s="17">
        <f t="shared" si="23"/>
        <v>855000</v>
      </c>
      <c r="K286" s="17">
        <f t="shared" si="24"/>
        <v>-40000</v>
      </c>
    </row>
    <row r="287" spans="1:11">
      <c r="A287" s="14" t="str">
        <f>Employee_Data!A287</f>
        <v>EMP0286</v>
      </c>
      <c r="B287" s="15" t="str">
        <f>Employee_Data!B287</f>
        <v>Finance</v>
      </c>
      <c r="C287" s="16">
        <f>ROUND(Employee_Data!E287*1.05,-3)</f>
        <v>731000</v>
      </c>
      <c r="D287" s="16">
        <f>Employee_Data!E287</f>
        <v>696000</v>
      </c>
      <c r="E287" s="16">
        <f t="shared" si="20"/>
        <v>-35000</v>
      </c>
      <c r="F287" s="16">
        <f>ROUND(Employee_Data!G287*0.95,-3)</f>
        <v>33000</v>
      </c>
      <c r="G287" s="16">
        <f>Employee_Data!G287</f>
        <v>35000</v>
      </c>
      <c r="H287" s="16">
        <f t="shared" si="21"/>
        <v>2000</v>
      </c>
      <c r="I287" s="17">
        <f t="shared" si="22"/>
        <v>764000</v>
      </c>
      <c r="J287" s="17">
        <f t="shared" si="23"/>
        <v>731000</v>
      </c>
      <c r="K287" s="17">
        <f t="shared" si="24"/>
        <v>-33000</v>
      </c>
    </row>
    <row r="288" spans="1:11">
      <c r="A288" s="14" t="str">
        <f>Employee_Data!A288</f>
        <v>EMP0287</v>
      </c>
      <c r="B288" s="15" t="str">
        <f>Employee_Data!B288</f>
        <v>Finance</v>
      </c>
      <c r="C288" s="16">
        <f>ROUND(Employee_Data!E288*1.05,-3)</f>
        <v>816000</v>
      </c>
      <c r="D288" s="16">
        <f>Employee_Data!E288</f>
        <v>777000</v>
      </c>
      <c r="E288" s="16">
        <f t="shared" si="20"/>
        <v>-39000</v>
      </c>
      <c r="F288" s="16">
        <f>ROUND(Employee_Data!G288*0.95,-3)</f>
        <v>33000</v>
      </c>
      <c r="G288" s="16">
        <f>Employee_Data!G288</f>
        <v>35000</v>
      </c>
      <c r="H288" s="16">
        <f t="shared" si="21"/>
        <v>2000</v>
      </c>
      <c r="I288" s="17">
        <f t="shared" si="22"/>
        <v>849000</v>
      </c>
      <c r="J288" s="17">
        <f t="shared" si="23"/>
        <v>812000</v>
      </c>
      <c r="K288" s="17">
        <f t="shared" si="24"/>
        <v>-37000</v>
      </c>
    </row>
    <row r="289" spans="1:11">
      <c r="A289" s="14" t="str">
        <f>Employee_Data!A289</f>
        <v>EMP0288</v>
      </c>
      <c r="B289" s="15" t="str">
        <f>Employee_Data!B289</f>
        <v>Finance</v>
      </c>
      <c r="C289" s="16">
        <f>ROUND(Employee_Data!E289*1.05,-3)</f>
        <v>733000</v>
      </c>
      <c r="D289" s="16">
        <f>Employee_Data!E289</f>
        <v>698000</v>
      </c>
      <c r="E289" s="16">
        <f t="shared" si="20"/>
        <v>-35000</v>
      </c>
      <c r="F289" s="16">
        <f>ROUND(Employee_Data!G289*0.95,-3)</f>
        <v>27000</v>
      </c>
      <c r="G289" s="16">
        <f>Employee_Data!G289</f>
        <v>28000</v>
      </c>
      <c r="H289" s="16">
        <f t="shared" si="21"/>
        <v>1000</v>
      </c>
      <c r="I289" s="17">
        <f t="shared" si="22"/>
        <v>760000</v>
      </c>
      <c r="J289" s="17">
        <f t="shared" si="23"/>
        <v>726000</v>
      </c>
      <c r="K289" s="17">
        <f t="shared" si="24"/>
        <v>-34000</v>
      </c>
    </row>
    <row r="290" spans="1:11">
      <c r="A290" s="14" t="str">
        <f>Employee_Data!A290</f>
        <v>EMP0289</v>
      </c>
      <c r="B290" s="15" t="str">
        <f>Employee_Data!B290</f>
        <v>Finance</v>
      </c>
      <c r="C290" s="16">
        <f>ROUND(Employee_Data!E290*1.05,-3)</f>
        <v>705000</v>
      </c>
      <c r="D290" s="16">
        <f>Employee_Data!E290</f>
        <v>671000</v>
      </c>
      <c r="E290" s="16">
        <f t="shared" si="20"/>
        <v>-34000</v>
      </c>
      <c r="F290" s="16">
        <f>ROUND(Employee_Data!G290*0.95,-3)</f>
        <v>24000</v>
      </c>
      <c r="G290" s="16">
        <f>Employee_Data!G290</f>
        <v>25000</v>
      </c>
      <c r="H290" s="16">
        <f t="shared" si="21"/>
        <v>1000</v>
      </c>
      <c r="I290" s="17">
        <f t="shared" si="22"/>
        <v>729000</v>
      </c>
      <c r="J290" s="17">
        <f t="shared" si="23"/>
        <v>696000</v>
      </c>
      <c r="K290" s="17">
        <f t="shared" si="24"/>
        <v>-33000</v>
      </c>
    </row>
    <row r="291" spans="1:11">
      <c r="A291" s="14" t="str">
        <f>Employee_Data!A291</f>
        <v>EMP0290</v>
      </c>
      <c r="B291" s="15" t="str">
        <f>Employee_Data!B291</f>
        <v>Finance</v>
      </c>
      <c r="C291" s="16">
        <f>ROUND(Employee_Data!E291*1.05,-3)</f>
        <v>607000</v>
      </c>
      <c r="D291" s="16">
        <f>Employee_Data!E291</f>
        <v>578000</v>
      </c>
      <c r="E291" s="16">
        <f t="shared" si="20"/>
        <v>-29000</v>
      </c>
      <c r="F291" s="16">
        <f>ROUND(Employee_Data!G291*0.95,-3)</f>
        <v>14000</v>
      </c>
      <c r="G291" s="16">
        <f>Employee_Data!G291</f>
        <v>15000</v>
      </c>
      <c r="H291" s="16">
        <f t="shared" si="21"/>
        <v>1000</v>
      </c>
      <c r="I291" s="17">
        <f t="shared" si="22"/>
        <v>621000</v>
      </c>
      <c r="J291" s="17">
        <f t="shared" si="23"/>
        <v>593000</v>
      </c>
      <c r="K291" s="17">
        <f t="shared" si="24"/>
        <v>-28000</v>
      </c>
    </row>
    <row r="292" spans="1:11">
      <c r="A292" s="14" t="str">
        <f>Employee_Data!A292</f>
        <v>EMP0291</v>
      </c>
      <c r="B292" s="15" t="str">
        <f>Employee_Data!B292</f>
        <v>Finance</v>
      </c>
      <c r="C292" s="16">
        <f>ROUND(Employee_Data!E292*1.05,-3)</f>
        <v>925000</v>
      </c>
      <c r="D292" s="16">
        <f>Employee_Data!E292</f>
        <v>881000</v>
      </c>
      <c r="E292" s="16">
        <f t="shared" si="20"/>
        <v>-44000</v>
      </c>
      <c r="F292" s="16">
        <f>ROUND(Employee_Data!G292*0.95,-3)</f>
        <v>29000</v>
      </c>
      <c r="G292" s="16">
        <f>Employee_Data!G292</f>
        <v>30000</v>
      </c>
      <c r="H292" s="16">
        <f t="shared" si="21"/>
        <v>1000</v>
      </c>
      <c r="I292" s="17">
        <f t="shared" si="22"/>
        <v>954000</v>
      </c>
      <c r="J292" s="17">
        <f t="shared" si="23"/>
        <v>911000</v>
      </c>
      <c r="K292" s="17">
        <f t="shared" si="24"/>
        <v>-43000</v>
      </c>
    </row>
    <row r="293" spans="1:11">
      <c r="A293" s="14" t="str">
        <f>Employee_Data!A293</f>
        <v>EMP0292</v>
      </c>
      <c r="B293" s="15" t="str">
        <f>Employee_Data!B293</f>
        <v>Finance</v>
      </c>
      <c r="C293" s="16">
        <f>ROUND(Employee_Data!E293*1.05,-3)</f>
        <v>806000</v>
      </c>
      <c r="D293" s="16">
        <f>Employee_Data!E293</f>
        <v>768000</v>
      </c>
      <c r="E293" s="16">
        <f t="shared" si="20"/>
        <v>-38000</v>
      </c>
      <c r="F293" s="16">
        <f>ROUND(Employee_Data!G293*0.95,-3)</f>
        <v>33000</v>
      </c>
      <c r="G293" s="16">
        <f>Employee_Data!G293</f>
        <v>35000</v>
      </c>
      <c r="H293" s="16">
        <f t="shared" si="21"/>
        <v>2000</v>
      </c>
      <c r="I293" s="17">
        <f t="shared" si="22"/>
        <v>839000</v>
      </c>
      <c r="J293" s="17">
        <f t="shared" si="23"/>
        <v>803000</v>
      </c>
      <c r="K293" s="17">
        <f t="shared" si="24"/>
        <v>-36000</v>
      </c>
    </row>
    <row r="294" spans="1:11">
      <c r="A294" s="14" t="str">
        <f>Employee_Data!A294</f>
        <v>EMP0293</v>
      </c>
      <c r="B294" s="15" t="str">
        <f>Employee_Data!B294</f>
        <v>Finance</v>
      </c>
      <c r="C294" s="16">
        <f>ROUND(Employee_Data!E294*1.05,-3)</f>
        <v>1073000</v>
      </c>
      <c r="D294" s="16">
        <f>Employee_Data!E294</f>
        <v>1022000</v>
      </c>
      <c r="E294" s="16">
        <f t="shared" si="20"/>
        <v>-51000</v>
      </c>
      <c r="F294" s="16">
        <f>ROUND(Employee_Data!G294*0.95,-3)</f>
        <v>17000</v>
      </c>
      <c r="G294" s="16">
        <f>Employee_Data!G294</f>
        <v>18000</v>
      </c>
      <c r="H294" s="16">
        <f t="shared" si="21"/>
        <v>1000</v>
      </c>
      <c r="I294" s="17">
        <f t="shared" si="22"/>
        <v>1090000</v>
      </c>
      <c r="J294" s="17">
        <f t="shared" si="23"/>
        <v>1040000</v>
      </c>
      <c r="K294" s="17">
        <f t="shared" si="24"/>
        <v>-50000</v>
      </c>
    </row>
    <row r="295" spans="1:11">
      <c r="A295" s="14" t="str">
        <f>Employee_Data!A295</f>
        <v>EMP0294</v>
      </c>
      <c r="B295" s="15" t="str">
        <f>Employee_Data!B295</f>
        <v>Finance</v>
      </c>
      <c r="C295" s="16">
        <f>ROUND(Employee_Data!E295*1.05,-3)</f>
        <v>705000</v>
      </c>
      <c r="D295" s="16">
        <f>Employee_Data!E295</f>
        <v>671000</v>
      </c>
      <c r="E295" s="16">
        <f t="shared" si="20"/>
        <v>-34000</v>
      </c>
      <c r="F295" s="16">
        <f>ROUND(Employee_Data!G295*0.95,-3)</f>
        <v>24000</v>
      </c>
      <c r="G295" s="16">
        <f>Employee_Data!G295</f>
        <v>25000</v>
      </c>
      <c r="H295" s="16">
        <f t="shared" si="21"/>
        <v>1000</v>
      </c>
      <c r="I295" s="17">
        <f t="shared" si="22"/>
        <v>729000</v>
      </c>
      <c r="J295" s="17">
        <f t="shared" si="23"/>
        <v>696000</v>
      </c>
      <c r="K295" s="17">
        <f t="shared" si="24"/>
        <v>-33000</v>
      </c>
    </row>
    <row r="296" spans="1:11">
      <c r="A296" s="14" t="str">
        <f>Employee_Data!A296</f>
        <v>EMP0295</v>
      </c>
      <c r="B296" s="15" t="str">
        <f>Employee_Data!B296</f>
        <v>Finance</v>
      </c>
      <c r="C296" s="16">
        <f>ROUND(Employee_Data!E296*1.05,-3)</f>
        <v>714000</v>
      </c>
      <c r="D296" s="16">
        <f>Employee_Data!E296</f>
        <v>680000</v>
      </c>
      <c r="E296" s="16">
        <f t="shared" si="20"/>
        <v>-34000</v>
      </c>
      <c r="F296" s="16">
        <f>ROUND(Employee_Data!G296*0.95,-3)</f>
        <v>29000</v>
      </c>
      <c r="G296" s="16">
        <f>Employee_Data!G296</f>
        <v>30000</v>
      </c>
      <c r="H296" s="16">
        <f t="shared" si="21"/>
        <v>1000</v>
      </c>
      <c r="I296" s="17">
        <f t="shared" si="22"/>
        <v>743000</v>
      </c>
      <c r="J296" s="17">
        <f t="shared" si="23"/>
        <v>710000</v>
      </c>
      <c r="K296" s="17">
        <f t="shared" si="24"/>
        <v>-33000</v>
      </c>
    </row>
    <row r="297" spans="1:11">
      <c r="A297" s="14" t="str">
        <f>Employee_Data!A297</f>
        <v>EMP0296</v>
      </c>
      <c r="B297" s="15" t="str">
        <f>Employee_Data!B297</f>
        <v>Finance</v>
      </c>
      <c r="C297" s="16">
        <f>ROUND(Employee_Data!E297*1.05,-3)</f>
        <v>995000</v>
      </c>
      <c r="D297" s="16">
        <f>Employee_Data!E297</f>
        <v>948000</v>
      </c>
      <c r="E297" s="16">
        <f t="shared" si="20"/>
        <v>-47000</v>
      </c>
      <c r="F297" s="16">
        <f>ROUND(Employee_Data!G297*0.95,-3)</f>
        <v>27000</v>
      </c>
      <c r="G297" s="16">
        <f>Employee_Data!G297</f>
        <v>28000</v>
      </c>
      <c r="H297" s="16">
        <f t="shared" si="21"/>
        <v>1000</v>
      </c>
      <c r="I297" s="17">
        <f t="shared" si="22"/>
        <v>1022000</v>
      </c>
      <c r="J297" s="17">
        <f t="shared" si="23"/>
        <v>976000</v>
      </c>
      <c r="K297" s="17">
        <f t="shared" si="24"/>
        <v>-46000</v>
      </c>
    </row>
    <row r="298" spans="1:11">
      <c r="A298" s="14" t="str">
        <f>Employee_Data!A298</f>
        <v>EMP0297</v>
      </c>
      <c r="B298" s="15" t="str">
        <f>Employee_Data!B298</f>
        <v>Finance</v>
      </c>
      <c r="C298" s="16">
        <f>ROUND(Employee_Data!E298*1.05,-3)</f>
        <v>1038000</v>
      </c>
      <c r="D298" s="16">
        <f>Employee_Data!E298</f>
        <v>989000</v>
      </c>
      <c r="E298" s="16">
        <f t="shared" si="20"/>
        <v>-49000</v>
      </c>
      <c r="F298" s="16">
        <f>ROUND(Employee_Data!G298*0.95,-3)</f>
        <v>14000</v>
      </c>
      <c r="G298" s="16">
        <f>Employee_Data!G298</f>
        <v>15000</v>
      </c>
      <c r="H298" s="16">
        <f t="shared" si="21"/>
        <v>1000</v>
      </c>
      <c r="I298" s="17">
        <f t="shared" si="22"/>
        <v>1052000</v>
      </c>
      <c r="J298" s="17">
        <f t="shared" si="23"/>
        <v>1004000</v>
      </c>
      <c r="K298" s="17">
        <f t="shared" si="24"/>
        <v>-48000</v>
      </c>
    </row>
    <row r="299" spans="1:11">
      <c r="A299" s="14" t="str">
        <f>Employee_Data!A299</f>
        <v>EMP0298</v>
      </c>
      <c r="B299" s="15" t="str">
        <f>Employee_Data!B299</f>
        <v>Finance</v>
      </c>
      <c r="C299" s="16">
        <f>ROUND(Employee_Data!E299*1.05,-3)</f>
        <v>617000</v>
      </c>
      <c r="D299" s="16">
        <f>Employee_Data!E299</f>
        <v>588000</v>
      </c>
      <c r="E299" s="16">
        <f t="shared" si="20"/>
        <v>-29000</v>
      </c>
      <c r="F299" s="16">
        <f>ROUND(Employee_Data!G299*0.95,-3)</f>
        <v>19000</v>
      </c>
      <c r="G299" s="16">
        <f>Employee_Data!G299</f>
        <v>20000</v>
      </c>
      <c r="H299" s="16">
        <f t="shared" si="21"/>
        <v>1000</v>
      </c>
      <c r="I299" s="17">
        <f t="shared" si="22"/>
        <v>636000</v>
      </c>
      <c r="J299" s="17">
        <f t="shared" si="23"/>
        <v>608000</v>
      </c>
      <c r="K299" s="17">
        <f t="shared" si="24"/>
        <v>-28000</v>
      </c>
    </row>
    <row r="300" spans="1:11">
      <c r="A300" s="14" t="str">
        <f>Employee_Data!A300</f>
        <v>EMP0299</v>
      </c>
      <c r="B300" s="15" t="str">
        <f>Employee_Data!B300</f>
        <v>Finance</v>
      </c>
      <c r="C300" s="16">
        <f>ROUND(Employee_Data!E300*1.05,-3)</f>
        <v>706000</v>
      </c>
      <c r="D300" s="16">
        <f>Employee_Data!E300</f>
        <v>672000</v>
      </c>
      <c r="E300" s="16">
        <f t="shared" si="20"/>
        <v>-34000</v>
      </c>
      <c r="F300" s="16">
        <f>ROUND(Employee_Data!G300*0.95,-3)</f>
        <v>14000</v>
      </c>
      <c r="G300" s="16">
        <f>Employee_Data!G300</f>
        <v>15000</v>
      </c>
      <c r="H300" s="16">
        <f t="shared" si="21"/>
        <v>1000</v>
      </c>
      <c r="I300" s="17">
        <f t="shared" si="22"/>
        <v>720000</v>
      </c>
      <c r="J300" s="17">
        <f t="shared" si="23"/>
        <v>687000</v>
      </c>
      <c r="K300" s="17">
        <f t="shared" si="24"/>
        <v>-33000</v>
      </c>
    </row>
    <row r="301" spans="1:11">
      <c r="A301" s="14" t="str">
        <f>Employee_Data!A301</f>
        <v>EMP0300</v>
      </c>
      <c r="B301" s="15" t="str">
        <f>Employee_Data!B301</f>
        <v>Finance</v>
      </c>
      <c r="C301" s="16">
        <f>ROUND(Employee_Data!E301*1.05,-3)</f>
        <v>711000</v>
      </c>
      <c r="D301" s="16">
        <f>Employee_Data!E301</f>
        <v>677000</v>
      </c>
      <c r="E301" s="16">
        <f t="shared" si="20"/>
        <v>-34000</v>
      </c>
      <c r="F301" s="16">
        <f>ROUND(Employee_Data!G301*0.95,-3)</f>
        <v>14000</v>
      </c>
      <c r="G301" s="16">
        <f>Employee_Data!G301</f>
        <v>15000</v>
      </c>
      <c r="H301" s="16">
        <f t="shared" si="21"/>
        <v>1000</v>
      </c>
      <c r="I301" s="17">
        <f t="shared" si="22"/>
        <v>725000</v>
      </c>
      <c r="J301" s="17">
        <f t="shared" si="23"/>
        <v>692000</v>
      </c>
      <c r="K301" s="17">
        <f t="shared" si="24"/>
        <v>-33000</v>
      </c>
    </row>
    <row r="302" spans="1:11">
      <c r="A302" s="14" t="str">
        <f>Employee_Data!A302</f>
        <v>EMP0301</v>
      </c>
      <c r="B302" s="15" t="str">
        <f>Employee_Data!B302</f>
        <v>Finance</v>
      </c>
      <c r="C302" s="16">
        <f>ROUND(Employee_Data!E302*1.05,-3)</f>
        <v>698000</v>
      </c>
      <c r="D302" s="16">
        <f>Employee_Data!E302</f>
        <v>665000</v>
      </c>
      <c r="E302" s="16">
        <f t="shared" si="20"/>
        <v>-33000</v>
      </c>
      <c r="F302" s="16">
        <f>ROUND(Employee_Data!G302*0.95,-3)</f>
        <v>17000</v>
      </c>
      <c r="G302" s="16">
        <f>Employee_Data!G302</f>
        <v>18000</v>
      </c>
      <c r="H302" s="16">
        <f t="shared" si="21"/>
        <v>1000</v>
      </c>
      <c r="I302" s="17">
        <f t="shared" si="22"/>
        <v>715000</v>
      </c>
      <c r="J302" s="17">
        <f t="shared" si="23"/>
        <v>683000</v>
      </c>
      <c r="K302" s="17">
        <f t="shared" si="24"/>
        <v>-32000</v>
      </c>
    </row>
    <row r="303" spans="1:11">
      <c r="A303" s="14" t="str">
        <f>Employee_Data!A303</f>
        <v>EMP0302</v>
      </c>
      <c r="B303" s="15" t="str">
        <f>Employee_Data!B303</f>
        <v>Finance</v>
      </c>
      <c r="C303" s="16">
        <f>ROUND(Employee_Data!E303*1.05,-3)</f>
        <v>623000</v>
      </c>
      <c r="D303" s="16">
        <f>Employee_Data!E303</f>
        <v>593000</v>
      </c>
      <c r="E303" s="16">
        <f t="shared" si="20"/>
        <v>-30000</v>
      </c>
      <c r="F303" s="16">
        <f>ROUND(Employee_Data!G303*0.95,-3)</f>
        <v>21000</v>
      </c>
      <c r="G303" s="16">
        <f>Employee_Data!G303</f>
        <v>22000</v>
      </c>
      <c r="H303" s="16">
        <f t="shared" si="21"/>
        <v>1000</v>
      </c>
      <c r="I303" s="17">
        <f t="shared" si="22"/>
        <v>644000</v>
      </c>
      <c r="J303" s="17">
        <f t="shared" si="23"/>
        <v>615000</v>
      </c>
      <c r="K303" s="17">
        <f t="shared" si="24"/>
        <v>-29000</v>
      </c>
    </row>
    <row r="304" spans="1:11">
      <c r="A304" s="14" t="str">
        <f>Employee_Data!A304</f>
        <v>EMP0303</v>
      </c>
      <c r="B304" s="15" t="str">
        <f>Employee_Data!B304</f>
        <v>Finance</v>
      </c>
      <c r="C304" s="16">
        <f>ROUND(Employee_Data!E304*1.05,-3)</f>
        <v>643000</v>
      </c>
      <c r="D304" s="16">
        <f>Employee_Data!E304</f>
        <v>612000</v>
      </c>
      <c r="E304" s="16">
        <f t="shared" si="20"/>
        <v>-31000</v>
      </c>
      <c r="F304" s="16">
        <f>ROUND(Employee_Data!G304*0.95,-3)</f>
        <v>17000</v>
      </c>
      <c r="G304" s="16">
        <f>Employee_Data!G304</f>
        <v>18000</v>
      </c>
      <c r="H304" s="16">
        <f t="shared" si="21"/>
        <v>1000</v>
      </c>
      <c r="I304" s="17">
        <f t="shared" si="22"/>
        <v>660000</v>
      </c>
      <c r="J304" s="17">
        <f t="shared" si="23"/>
        <v>630000</v>
      </c>
      <c r="K304" s="17">
        <f t="shared" si="24"/>
        <v>-30000</v>
      </c>
    </row>
    <row r="305" spans="1:11">
      <c r="A305" s="14" t="str">
        <f>Employee_Data!A305</f>
        <v>EMP0304</v>
      </c>
      <c r="B305" s="15" t="str">
        <f>Employee_Data!B305</f>
        <v>Finance</v>
      </c>
      <c r="C305" s="16">
        <f>ROUND(Employee_Data!E305*1.05,-3)</f>
        <v>681000</v>
      </c>
      <c r="D305" s="16">
        <f>Employee_Data!E305</f>
        <v>649000</v>
      </c>
      <c r="E305" s="16">
        <f t="shared" si="20"/>
        <v>-32000</v>
      </c>
      <c r="F305" s="16">
        <f>ROUND(Employee_Data!G305*0.95,-3)</f>
        <v>24000</v>
      </c>
      <c r="G305" s="16">
        <f>Employee_Data!G305</f>
        <v>25000</v>
      </c>
      <c r="H305" s="16">
        <f t="shared" si="21"/>
        <v>1000</v>
      </c>
      <c r="I305" s="17">
        <f t="shared" si="22"/>
        <v>705000</v>
      </c>
      <c r="J305" s="17">
        <f t="shared" si="23"/>
        <v>674000</v>
      </c>
      <c r="K305" s="17">
        <f t="shared" si="24"/>
        <v>-31000</v>
      </c>
    </row>
    <row r="306" spans="1:11">
      <c r="A306" s="14" t="str">
        <f>Employee_Data!A306</f>
        <v>EMP0305</v>
      </c>
      <c r="B306" s="15" t="str">
        <f>Employee_Data!B306</f>
        <v>Finance</v>
      </c>
      <c r="C306" s="16">
        <f>ROUND(Employee_Data!E306*1.05,-3)</f>
        <v>1239000</v>
      </c>
      <c r="D306" s="16">
        <f>Employee_Data!E306</f>
        <v>1180000</v>
      </c>
      <c r="E306" s="16">
        <f t="shared" si="20"/>
        <v>-59000</v>
      </c>
      <c r="F306" s="16">
        <f>ROUND(Employee_Data!G306*0.95,-3)</f>
        <v>17000</v>
      </c>
      <c r="G306" s="16">
        <f>Employee_Data!G306</f>
        <v>18000</v>
      </c>
      <c r="H306" s="16">
        <f t="shared" si="21"/>
        <v>1000</v>
      </c>
      <c r="I306" s="17">
        <f t="shared" si="22"/>
        <v>1256000</v>
      </c>
      <c r="J306" s="17">
        <f t="shared" si="23"/>
        <v>1198000</v>
      </c>
      <c r="K306" s="17">
        <f t="shared" si="24"/>
        <v>-58000</v>
      </c>
    </row>
    <row r="307" spans="1:11">
      <c r="A307" s="14" t="str">
        <f>Employee_Data!A307</f>
        <v>EMP0306</v>
      </c>
      <c r="B307" s="15" t="str">
        <f>Employee_Data!B307</f>
        <v>Finance</v>
      </c>
      <c r="C307" s="16">
        <f>ROUND(Employee_Data!E307*1.05,-3)</f>
        <v>817000</v>
      </c>
      <c r="D307" s="16">
        <f>Employee_Data!E307</f>
        <v>778000</v>
      </c>
      <c r="E307" s="16">
        <f t="shared" si="20"/>
        <v>-39000</v>
      </c>
      <c r="F307" s="16">
        <f>ROUND(Employee_Data!G307*0.95,-3)</f>
        <v>27000</v>
      </c>
      <c r="G307" s="16">
        <f>Employee_Data!G307</f>
        <v>28000</v>
      </c>
      <c r="H307" s="16">
        <f t="shared" si="21"/>
        <v>1000</v>
      </c>
      <c r="I307" s="17">
        <f t="shared" si="22"/>
        <v>844000</v>
      </c>
      <c r="J307" s="17">
        <f t="shared" si="23"/>
        <v>806000</v>
      </c>
      <c r="K307" s="17">
        <f t="shared" si="24"/>
        <v>-38000</v>
      </c>
    </row>
    <row r="308" spans="1:11">
      <c r="A308" s="14" t="str">
        <f>Employee_Data!A308</f>
        <v>EMP0307</v>
      </c>
      <c r="B308" s="15" t="str">
        <f>Employee_Data!B308</f>
        <v>Finance</v>
      </c>
      <c r="C308" s="16">
        <f>ROUND(Employee_Data!E308*1.05,-3)</f>
        <v>644000</v>
      </c>
      <c r="D308" s="16">
        <f>Employee_Data!E308</f>
        <v>613000</v>
      </c>
      <c r="E308" s="16">
        <f t="shared" si="20"/>
        <v>-31000</v>
      </c>
      <c r="F308" s="16">
        <f>ROUND(Employee_Data!G308*0.95,-3)</f>
        <v>24000</v>
      </c>
      <c r="G308" s="16">
        <f>Employee_Data!G308</f>
        <v>25000</v>
      </c>
      <c r="H308" s="16">
        <f t="shared" si="21"/>
        <v>1000</v>
      </c>
      <c r="I308" s="17">
        <f t="shared" si="22"/>
        <v>668000</v>
      </c>
      <c r="J308" s="17">
        <f t="shared" si="23"/>
        <v>638000</v>
      </c>
      <c r="K308" s="17">
        <f t="shared" si="24"/>
        <v>-30000</v>
      </c>
    </row>
    <row r="309" spans="1:11">
      <c r="A309" s="14" t="str">
        <f>Employee_Data!A309</f>
        <v>EMP0308</v>
      </c>
      <c r="B309" s="15" t="str">
        <f>Employee_Data!B309</f>
        <v>Finance</v>
      </c>
      <c r="C309" s="16">
        <f>ROUND(Employee_Data!E309*1.05,-3)</f>
        <v>695000</v>
      </c>
      <c r="D309" s="16">
        <f>Employee_Data!E309</f>
        <v>662000</v>
      </c>
      <c r="E309" s="16">
        <f t="shared" si="20"/>
        <v>-33000</v>
      </c>
      <c r="F309" s="16">
        <f>ROUND(Employee_Data!G309*0.95,-3)</f>
        <v>27000</v>
      </c>
      <c r="G309" s="16">
        <f>Employee_Data!G309</f>
        <v>28000</v>
      </c>
      <c r="H309" s="16">
        <f t="shared" si="21"/>
        <v>1000</v>
      </c>
      <c r="I309" s="17">
        <f t="shared" si="22"/>
        <v>722000</v>
      </c>
      <c r="J309" s="17">
        <f t="shared" si="23"/>
        <v>690000</v>
      </c>
      <c r="K309" s="17">
        <f t="shared" si="24"/>
        <v>-32000</v>
      </c>
    </row>
    <row r="310" spans="1:11">
      <c r="A310" s="14" t="str">
        <f>Employee_Data!A310</f>
        <v>EMP0309</v>
      </c>
      <c r="B310" s="15" t="str">
        <f>Employee_Data!B310</f>
        <v>Finance</v>
      </c>
      <c r="C310" s="16">
        <f>ROUND(Employee_Data!E310*1.05,-3)</f>
        <v>645000</v>
      </c>
      <c r="D310" s="16">
        <f>Employee_Data!E310</f>
        <v>614000</v>
      </c>
      <c r="E310" s="16">
        <f t="shared" si="20"/>
        <v>-31000</v>
      </c>
      <c r="F310" s="16">
        <f>ROUND(Employee_Data!G310*0.95,-3)</f>
        <v>33000</v>
      </c>
      <c r="G310" s="16">
        <f>Employee_Data!G310</f>
        <v>35000</v>
      </c>
      <c r="H310" s="16">
        <f t="shared" si="21"/>
        <v>2000</v>
      </c>
      <c r="I310" s="17">
        <f t="shared" si="22"/>
        <v>678000</v>
      </c>
      <c r="J310" s="17">
        <f t="shared" si="23"/>
        <v>649000</v>
      </c>
      <c r="K310" s="17">
        <f t="shared" si="24"/>
        <v>-29000</v>
      </c>
    </row>
    <row r="311" spans="1:11">
      <c r="A311" s="14" t="str">
        <f>Employee_Data!A311</f>
        <v>EMP0310</v>
      </c>
      <c r="B311" s="15" t="str">
        <f>Employee_Data!B311</f>
        <v>Finance</v>
      </c>
      <c r="C311" s="16">
        <f>ROUND(Employee_Data!E311*1.05,-3)</f>
        <v>618000</v>
      </c>
      <c r="D311" s="16">
        <f>Employee_Data!E311</f>
        <v>589000</v>
      </c>
      <c r="E311" s="16">
        <f t="shared" si="20"/>
        <v>-29000</v>
      </c>
      <c r="F311" s="16">
        <f>ROUND(Employee_Data!G311*0.95,-3)</f>
        <v>19000</v>
      </c>
      <c r="G311" s="16">
        <f>Employee_Data!G311</f>
        <v>20000</v>
      </c>
      <c r="H311" s="16">
        <f t="shared" si="21"/>
        <v>1000</v>
      </c>
      <c r="I311" s="17">
        <f t="shared" si="22"/>
        <v>637000</v>
      </c>
      <c r="J311" s="17">
        <f t="shared" si="23"/>
        <v>609000</v>
      </c>
      <c r="K311" s="17">
        <f t="shared" si="24"/>
        <v>-28000</v>
      </c>
    </row>
    <row r="312" spans="1:11">
      <c r="A312" s="14" t="str">
        <f>Employee_Data!A312</f>
        <v>EMP0311</v>
      </c>
      <c r="B312" s="15" t="str">
        <f>Employee_Data!B312</f>
        <v>Finance</v>
      </c>
      <c r="C312" s="16">
        <f>ROUND(Employee_Data!E312*1.05,-3)</f>
        <v>660000</v>
      </c>
      <c r="D312" s="16">
        <f>Employee_Data!E312</f>
        <v>629000</v>
      </c>
      <c r="E312" s="16">
        <f t="shared" si="20"/>
        <v>-31000</v>
      </c>
      <c r="F312" s="16">
        <f>ROUND(Employee_Data!G312*0.95,-3)</f>
        <v>33000</v>
      </c>
      <c r="G312" s="16">
        <f>Employee_Data!G312</f>
        <v>35000</v>
      </c>
      <c r="H312" s="16">
        <f t="shared" si="21"/>
        <v>2000</v>
      </c>
      <c r="I312" s="17">
        <f t="shared" si="22"/>
        <v>693000</v>
      </c>
      <c r="J312" s="17">
        <f t="shared" si="23"/>
        <v>664000</v>
      </c>
      <c r="K312" s="17">
        <f t="shared" si="24"/>
        <v>-29000</v>
      </c>
    </row>
    <row r="313" spans="1:11">
      <c r="A313" s="14" t="str">
        <f>Employee_Data!A313</f>
        <v>EMP0312</v>
      </c>
      <c r="B313" s="15" t="str">
        <f>Employee_Data!B313</f>
        <v>Finance</v>
      </c>
      <c r="C313" s="16">
        <f>ROUND(Employee_Data!E313*1.05,-3)</f>
        <v>965000</v>
      </c>
      <c r="D313" s="16">
        <f>Employee_Data!E313</f>
        <v>919000</v>
      </c>
      <c r="E313" s="16">
        <f t="shared" si="20"/>
        <v>-46000</v>
      </c>
      <c r="F313" s="16">
        <f>ROUND(Employee_Data!G313*0.95,-3)</f>
        <v>27000</v>
      </c>
      <c r="G313" s="16">
        <f>Employee_Data!G313</f>
        <v>28000</v>
      </c>
      <c r="H313" s="16">
        <f t="shared" si="21"/>
        <v>1000</v>
      </c>
      <c r="I313" s="17">
        <f t="shared" si="22"/>
        <v>992000</v>
      </c>
      <c r="J313" s="17">
        <f t="shared" si="23"/>
        <v>947000</v>
      </c>
      <c r="K313" s="17">
        <f t="shared" si="24"/>
        <v>-45000</v>
      </c>
    </row>
    <row r="314" spans="1:11">
      <c r="A314" s="14" t="str">
        <f>Employee_Data!A314</f>
        <v>EMP0313</v>
      </c>
      <c r="B314" s="15" t="str">
        <f>Employee_Data!B314</f>
        <v>Finance</v>
      </c>
      <c r="C314" s="16">
        <f>ROUND(Employee_Data!E314*1.05,-3)</f>
        <v>1047000</v>
      </c>
      <c r="D314" s="16">
        <f>Employee_Data!E314</f>
        <v>997000</v>
      </c>
      <c r="E314" s="16">
        <f t="shared" si="20"/>
        <v>-50000</v>
      </c>
      <c r="F314" s="16">
        <f>ROUND(Employee_Data!G314*0.95,-3)</f>
        <v>19000</v>
      </c>
      <c r="G314" s="16">
        <f>Employee_Data!G314</f>
        <v>20000</v>
      </c>
      <c r="H314" s="16">
        <f t="shared" si="21"/>
        <v>1000</v>
      </c>
      <c r="I314" s="17">
        <f t="shared" si="22"/>
        <v>1066000</v>
      </c>
      <c r="J314" s="17">
        <f t="shared" si="23"/>
        <v>1017000</v>
      </c>
      <c r="K314" s="17">
        <f t="shared" si="24"/>
        <v>-49000</v>
      </c>
    </row>
    <row r="315" spans="1:11">
      <c r="A315" s="14" t="str">
        <f>Employee_Data!A315</f>
        <v>EMP0314</v>
      </c>
      <c r="B315" s="15" t="str">
        <f>Employee_Data!B315</f>
        <v>Finance</v>
      </c>
      <c r="C315" s="16">
        <f>ROUND(Employee_Data!E315*1.05,-3)</f>
        <v>690000</v>
      </c>
      <c r="D315" s="16">
        <f>Employee_Data!E315</f>
        <v>657000</v>
      </c>
      <c r="E315" s="16">
        <f t="shared" si="20"/>
        <v>-33000</v>
      </c>
      <c r="F315" s="16">
        <f>ROUND(Employee_Data!G315*0.95,-3)</f>
        <v>17000</v>
      </c>
      <c r="G315" s="16">
        <f>Employee_Data!G315</f>
        <v>18000</v>
      </c>
      <c r="H315" s="16">
        <f t="shared" si="21"/>
        <v>1000</v>
      </c>
      <c r="I315" s="17">
        <f t="shared" si="22"/>
        <v>707000</v>
      </c>
      <c r="J315" s="17">
        <f t="shared" si="23"/>
        <v>675000</v>
      </c>
      <c r="K315" s="17">
        <f t="shared" si="24"/>
        <v>-32000</v>
      </c>
    </row>
    <row r="316" spans="1:11">
      <c r="A316" s="14" t="str">
        <f>Employee_Data!A316</f>
        <v>EMP0315</v>
      </c>
      <c r="B316" s="15" t="str">
        <f>Employee_Data!B316</f>
        <v>Finance</v>
      </c>
      <c r="C316" s="16">
        <f>ROUND(Employee_Data!E316*1.05,-3)</f>
        <v>638000</v>
      </c>
      <c r="D316" s="16">
        <f>Employee_Data!E316</f>
        <v>608000</v>
      </c>
      <c r="E316" s="16">
        <f t="shared" si="20"/>
        <v>-30000</v>
      </c>
      <c r="F316" s="16">
        <f>ROUND(Employee_Data!G316*0.95,-3)</f>
        <v>21000</v>
      </c>
      <c r="G316" s="16">
        <f>Employee_Data!G316</f>
        <v>22000</v>
      </c>
      <c r="H316" s="16">
        <f t="shared" si="21"/>
        <v>1000</v>
      </c>
      <c r="I316" s="17">
        <f t="shared" si="22"/>
        <v>659000</v>
      </c>
      <c r="J316" s="17">
        <f t="shared" si="23"/>
        <v>630000</v>
      </c>
      <c r="K316" s="17">
        <f t="shared" si="24"/>
        <v>-29000</v>
      </c>
    </row>
    <row r="317" spans="1:11">
      <c r="A317" s="14" t="str">
        <f>Employee_Data!A317</f>
        <v>EMP0316</v>
      </c>
      <c r="B317" s="15" t="str">
        <f>Employee_Data!B317</f>
        <v>Finance</v>
      </c>
      <c r="C317" s="16">
        <f>ROUND(Employee_Data!E317*1.05,-3)</f>
        <v>899000</v>
      </c>
      <c r="D317" s="16">
        <f>Employee_Data!E317</f>
        <v>856000</v>
      </c>
      <c r="E317" s="16">
        <f t="shared" si="20"/>
        <v>-43000</v>
      </c>
      <c r="F317" s="16">
        <f>ROUND(Employee_Data!G317*0.95,-3)</f>
        <v>24000</v>
      </c>
      <c r="G317" s="16">
        <f>Employee_Data!G317</f>
        <v>25000</v>
      </c>
      <c r="H317" s="16">
        <f t="shared" si="21"/>
        <v>1000</v>
      </c>
      <c r="I317" s="17">
        <f t="shared" si="22"/>
        <v>923000</v>
      </c>
      <c r="J317" s="17">
        <f t="shared" si="23"/>
        <v>881000</v>
      </c>
      <c r="K317" s="17">
        <f t="shared" si="24"/>
        <v>-42000</v>
      </c>
    </row>
    <row r="318" spans="1:11">
      <c r="A318" s="14" t="str">
        <f>Employee_Data!A318</f>
        <v>EMP0317</v>
      </c>
      <c r="B318" s="15" t="str">
        <f>Employee_Data!B318</f>
        <v>Finance</v>
      </c>
      <c r="C318" s="16">
        <f>ROUND(Employee_Data!E318*1.05,-3)</f>
        <v>1260000</v>
      </c>
      <c r="D318" s="16">
        <f>Employee_Data!E318</f>
        <v>1200000</v>
      </c>
      <c r="E318" s="16">
        <f t="shared" si="20"/>
        <v>-60000</v>
      </c>
      <c r="F318" s="16">
        <f>ROUND(Employee_Data!G318*0.95,-3)</f>
        <v>17000</v>
      </c>
      <c r="G318" s="16">
        <f>Employee_Data!G318</f>
        <v>18000</v>
      </c>
      <c r="H318" s="16">
        <f t="shared" si="21"/>
        <v>1000</v>
      </c>
      <c r="I318" s="17">
        <f t="shared" si="22"/>
        <v>1277000</v>
      </c>
      <c r="J318" s="17">
        <f t="shared" si="23"/>
        <v>1218000</v>
      </c>
      <c r="K318" s="17">
        <f t="shared" si="24"/>
        <v>-59000</v>
      </c>
    </row>
    <row r="319" spans="1:11">
      <c r="A319" s="14" t="str">
        <f>Employee_Data!A319</f>
        <v>EMP0318</v>
      </c>
      <c r="B319" s="15" t="str">
        <f>Employee_Data!B319</f>
        <v>Finance</v>
      </c>
      <c r="C319" s="16">
        <f>ROUND(Employee_Data!E319*1.05,-3)</f>
        <v>756000</v>
      </c>
      <c r="D319" s="16">
        <f>Employee_Data!E319</f>
        <v>720000</v>
      </c>
      <c r="E319" s="16">
        <f t="shared" si="20"/>
        <v>-36000</v>
      </c>
      <c r="F319" s="16">
        <f>ROUND(Employee_Data!G319*0.95,-3)</f>
        <v>27000</v>
      </c>
      <c r="G319" s="16">
        <f>Employee_Data!G319</f>
        <v>28000</v>
      </c>
      <c r="H319" s="16">
        <f t="shared" si="21"/>
        <v>1000</v>
      </c>
      <c r="I319" s="17">
        <f t="shared" si="22"/>
        <v>783000</v>
      </c>
      <c r="J319" s="17">
        <f t="shared" si="23"/>
        <v>748000</v>
      </c>
      <c r="K319" s="17">
        <f t="shared" si="24"/>
        <v>-35000</v>
      </c>
    </row>
    <row r="320" spans="1:11">
      <c r="A320" s="14" t="str">
        <f>Employee_Data!A320</f>
        <v>EMP0319</v>
      </c>
      <c r="B320" s="15" t="str">
        <f>Employee_Data!B320</f>
        <v>Finance</v>
      </c>
      <c r="C320" s="16">
        <f>ROUND(Employee_Data!E320*1.05,-3)</f>
        <v>681000</v>
      </c>
      <c r="D320" s="16">
        <f>Employee_Data!E320</f>
        <v>649000</v>
      </c>
      <c r="E320" s="16">
        <f t="shared" si="20"/>
        <v>-32000</v>
      </c>
      <c r="F320" s="16">
        <f>ROUND(Employee_Data!G320*0.95,-3)</f>
        <v>14000</v>
      </c>
      <c r="G320" s="16">
        <f>Employee_Data!G320</f>
        <v>15000</v>
      </c>
      <c r="H320" s="16">
        <f t="shared" si="21"/>
        <v>1000</v>
      </c>
      <c r="I320" s="17">
        <f t="shared" si="22"/>
        <v>695000</v>
      </c>
      <c r="J320" s="17">
        <f t="shared" si="23"/>
        <v>664000</v>
      </c>
      <c r="K320" s="17">
        <f t="shared" si="24"/>
        <v>-31000</v>
      </c>
    </row>
    <row r="321" spans="1:11">
      <c r="A321" s="14" t="str">
        <f>Employee_Data!A321</f>
        <v>EMP0320</v>
      </c>
      <c r="B321" s="15" t="str">
        <f>Employee_Data!B321</f>
        <v>Finance</v>
      </c>
      <c r="C321" s="16">
        <f>ROUND(Employee_Data!E321*1.05,-3)</f>
        <v>855000</v>
      </c>
      <c r="D321" s="16">
        <f>Employee_Data!E321</f>
        <v>814000</v>
      </c>
      <c r="E321" s="16">
        <f t="shared" si="20"/>
        <v>-41000</v>
      </c>
      <c r="F321" s="16">
        <f>ROUND(Employee_Data!G321*0.95,-3)</f>
        <v>29000</v>
      </c>
      <c r="G321" s="16">
        <f>Employee_Data!G321</f>
        <v>30000</v>
      </c>
      <c r="H321" s="16">
        <f t="shared" si="21"/>
        <v>1000</v>
      </c>
      <c r="I321" s="17">
        <f t="shared" si="22"/>
        <v>884000</v>
      </c>
      <c r="J321" s="17">
        <f t="shared" si="23"/>
        <v>844000</v>
      </c>
      <c r="K321" s="17">
        <f t="shared" si="24"/>
        <v>-40000</v>
      </c>
    </row>
    <row r="322" spans="1:11">
      <c r="A322" s="14" t="str">
        <f>Employee_Data!A322</f>
        <v>EMP0321</v>
      </c>
      <c r="B322" s="15" t="str">
        <f>Employee_Data!B322</f>
        <v>Finance</v>
      </c>
      <c r="C322" s="16">
        <f>ROUND(Employee_Data!E322*1.05,-3)</f>
        <v>748000</v>
      </c>
      <c r="D322" s="16">
        <f>Employee_Data!E322</f>
        <v>712000</v>
      </c>
      <c r="E322" s="16">
        <f t="shared" si="20"/>
        <v>-36000</v>
      </c>
      <c r="F322" s="16">
        <f>ROUND(Employee_Data!G322*0.95,-3)</f>
        <v>24000</v>
      </c>
      <c r="G322" s="16">
        <f>Employee_Data!G322</f>
        <v>25000</v>
      </c>
      <c r="H322" s="16">
        <f t="shared" si="21"/>
        <v>1000</v>
      </c>
      <c r="I322" s="17">
        <f t="shared" si="22"/>
        <v>772000</v>
      </c>
      <c r="J322" s="17">
        <f t="shared" si="23"/>
        <v>737000</v>
      </c>
      <c r="K322" s="17">
        <f t="shared" si="24"/>
        <v>-35000</v>
      </c>
    </row>
    <row r="323" spans="1:11">
      <c r="A323" s="14" t="str">
        <f>Employee_Data!A323</f>
        <v>EMP0322</v>
      </c>
      <c r="B323" s="15" t="str">
        <f>Employee_Data!B323</f>
        <v>Finance</v>
      </c>
      <c r="C323" s="16">
        <f>ROUND(Employee_Data!E323*1.05,-3)</f>
        <v>938000</v>
      </c>
      <c r="D323" s="16">
        <f>Employee_Data!E323</f>
        <v>893000</v>
      </c>
      <c r="E323" s="16">
        <f t="shared" ref="E323:E386" si="25">D323-C323</f>
        <v>-45000</v>
      </c>
      <c r="F323" s="16">
        <f>ROUND(Employee_Data!G323*0.95,-3)</f>
        <v>17000</v>
      </c>
      <c r="G323" s="16">
        <f>Employee_Data!G323</f>
        <v>18000</v>
      </c>
      <c r="H323" s="16">
        <f t="shared" ref="H323:H386" si="26">G323-F323</f>
        <v>1000</v>
      </c>
      <c r="I323" s="17">
        <f t="shared" ref="I323:I386" si="27">C323+F323</f>
        <v>955000</v>
      </c>
      <c r="J323" s="17">
        <f t="shared" ref="J323:J386" si="28">D323+G323</f>
        <v>911000</v>
      </c>
      <c r="K323" s="17">
        <f t="shared" ref="K323:K386" si="29">J323-I323</f>
        <v>-44000</v>
      </c>
    </row>
    <row r="324" spans="1:11">
      <c r="A324" s="14" t="str">
        <f>Employee_Data!A324</f>
        <v>EMP0323</v>
      </c>
      <c r="B324" s="15" t="str">
        <f>Employee_Data!B324</f>
        <v>Finance</v>
      </c>
      <c r="C324" s="16">
        <f>ROUND(Employee_Data!E324*1.05,-3)</f>
        <v>676000</v>
      </c>
      <c r="D324" s="16">
        <f>Employee_Data!E324</f>
        <v>644000</v>
      </c>
      <c r="E324" s="16">
        <f t="shared" si="25"/>
        <v>-32000</v>
      </c>
      <c r="F324" s="16">
        <f>ROUND(Employee_Data!G324*0.95,-3)</f>
        <v>27000</v>
      </c>
      <c r="G324" s="16">
        <f>Employee_Data!G324</f>
        <v>28000</v>
      </c>
      <c r="H324" s="16">
        <f t="shared" si="26"/>
        <v>1000</v>
      </c>
      <c r="I324" s="17">
        <f t="shared" si="27"/>
        <v>703000</v>
      </c>
      <c r="J324" s="17">
        <f t="shared" si="28"/>
        <v>672000</v>
      </c>
      <c r="K324" s="17">
        <f t="shared" si="29"/>
        <v>-31000</v>
      </c>
    </row>
    <row r="325" spans="1:11">
      <c r="A325" s="14" t="str">
        <f>Employee_Data!A325</f>
        <v>EMP0324</v>
      </c>
      <c r="B325" s="15" t="str">
        <f>Employee_Data!B325</f>
        <v>Finance</v>
      </c>
      <c r="C325" s="16">
        <f>ROUND(Employee_Data!E325*1.05,-3)</f>
        <v>722000</v>
      </c>
      <c r="D325" s="16">
        <f>Employee_Data!E325</f>
        <v>688000</v>
      </c>
      <c r="E325" s="16">
        <f t="shared" si="25"/>
        <v>-34000</v>
      </c>
      <c r="F325" s="16">
        <f>ROUND(Employee_Data!G325*0.95,-3)</f>
        <v>27000</v>
      </c>
      <c r="G325" s="16">
        <f>Employee_Data!G325</f>
        <v>28000</v>
      </c>
      <c r="H325" s="16">
        <f t="shared" si="26"/>
        <v>1000</v>
      </c>
      <c r="I325" s="17">
        <f t="shared" si="27"/>
        <v>749000</v>
      </c>
      <c r="J325" s="17">
        <f t="shared" si="28"/>
        <v>716000</v>
      </c>
      <c r="K325" s="17">
        <f t="shared" si="29"/>
        <v>-33000</v>
      </c>
    </row>
    <row r="326" spans="1:11">
      <c r="A326" s="14" t="str">
        <f>Employee_Data!A326</f>
        <v>EMP0325</v>
      </c>
      <c r="B326" s="15" t="str">
        <f>Employee_Data!B326</f>
        <v>Finance</v>
      </c>
      <c r="C326" s="16">
        <f>ROUND(Employee_Data!E326*1.05,-3)</f>
        <v>670000</v>
      </c>
      <c r="D326" s="16">
        <f>Employee_Data!E326</f>
        <v>638000</v>
      </c>
      <c r="E326" s="16">
        <f t="shared" si="25"/>
        <v>-32000</v>
      </c>
      <c r="F326" s="16">
        <f>ROUND(Employee_Data!G326*0.95,-3)</f>
        <v>27000</v>
      </c>
      <c r="G326" s="16">
        <f>Employee_Data!G326</f>
        <v>28000</v>
      </c>
      <c r="H326" s="16">
        <f t="shared" si="26"/>
        <v>1000</v>
      </c>
      <c r="I326" s="17">
        <f t="shared" si="27"/>
        <v>697000</v>
      </c>
      <c r="J326" s="17">
        <f t="shared" si="28"/>
        <v>666000</v>
      </c>
      <c r="K326" s="17">
        <f t="shared" si="29"/>
        <v>-31000</v>
      </c>
    </row>
    <row r="327" spans="1:11">
      <c r="A327" s="14" t="str">
        <f>Employee_Data!A327</f>
        <v>EMP0326</v>
      </c>
      <c r="B327" s="15" t="str">
        <f>Employee_Data!B327</f>
        <v>Human Resources</v>
      </c>
      <c r="C327" s="16">
        <f>ROUND(Employee_Data!E327*1.05,-3)</f>
        <v>576000</v>
      </c>
      <c r="D327" s="16">
        <f>Employee_Data!E327</f>
        <v>549000</v>
      </c>
      <c r="E327" s="16">
        <f t="shared" si="25"/>
        <v>-27000</v>
      </c>
      <c r="F327" s="16">
        <f>ROUND(Employee_Data!G327*0.95,-3)</f>
        <v>14000</v>
      </c>
      <c r="G327" s="16">
        <f>Employee_Data!G327</f>
        <v>15000</v>
      </c>
      <c r="H327" s="16">
        <f t="shared" si="26"/>
        <v>1000</v>
      </c>
      <c r="I327" s="17">
        <f t="shared" si="27"/>
        <v>590000</v>
      </c>
      <c r="J327" s="17">
        <f t="shared" si="28"/>
        <v>564000</v>
      </c>
      <c r="K327" s="17">
        <f t="shared" si="29"/>
        <v>-26000</v>
      </c>
    </row>
    <row r="328" spans="1:11">
      <c r="A328" s="14" t="str">
        <f>Employee_Data!A328</f>
        <v>EMP0327</v>
      </c>
      <c r="B328" s="15" t="str">
        <f>Employee_Data!B328</f>
        <v>Human Resources</v>
      </c>
      <c r="C328" s="16">
        <f>ROUND(Employee_Data!E328*1.05,-3)</f>
        <v>707000</v>
      </c>
      <c r="D328" s="16">
        <f>Employee_Data!E328</f>
        <v>673000</v>
      </c>
      <c r="E328" s="16">
        <f t="shared" si="25"/>
        <v>-34000</v>
      </c>
      <c r="F328" s="16">
        <f>ROUND(Employee_Data!G328*0.95,-3)</f>
        <v>19000</v>
      </c>
      <c r="G328" s="16">
        <f>Employee_Data!G328</f>
        <v>20000</v>
      </c>
      <c r="H328" s="16">
        <f t="shared" si="26"/>
        <v>1000</v>
      </c>
      <c r="I328" s="17">
        <f t="shared" si="27"/>
        <v>726000</v>
      </c>
      <c r="J328" s="17">
        <f t="shared" si="28"/>
        <v>693000</v>
      </c>
      <c r="K328" s="17">
        <f t="shared" si="29"/>
        <v>-33000</v>
      </c>
    </row>
    <row r="329" spans="1:11">
      <c r="A329" s="14" t="str">
        <f>Employee_Data!A329</f>
        <v>EMP0328</v>
      </c>
      <c r="B329" s="15" t="str">
        <f>Employee_Data!B329</f>
        <v>Human Resources</v>
      </c>
      <c r="C329" s="16">
        <f>ROUND(Employee_Data!E329*1.05,-3)</f>
        <v>1056000</v>
      </c>
      <c r="D329" s="16">
        <f>Employee_Data!E329</f>
        <v>1006000</v>
      </c>
      <c r="E329" s="16">
        <f t="shared" si="25"/>
        <v>-50000</v>
      </c>
      <c r="F329" s="16">
        <f>ROUND(Employee_Data!G329*0.95,-3)</f>
        <v>19000</v>
      </c>
      <c r="G329" s="16">
        <f>Employee_Data!G329</f>
        <v>20000</v>
      </c>
      <c r="H329" s="16">
        <f t="shared" si="26"/>
        <v>1000</v>
      </c>
      <c r="I329" s="17">
        <f t="shared" si="27"/>
        <v>1075000</v>
      </c>
      <c r="J329" s="17">
        <f t="shared" si="28"/>
        <v>1026000</v>
      </c>
      <c r="K329" s="17">
        <f t="shared" si="29"/>
        <v>-49000</v>
      </c>
    </row>
    <row r="330" spans="1:11">
      <c r="A330" s="14" t="str">
        <f>Employee_Data!A330</f>
        <v>EMP0329</v>
      </c>
      <c r="B330" s="15" t="str">
        <f>Employee_Data!B330</f>
        <v>Human Resources</v>
      </c>
      <c r="C330" s="16">
        <f>ROUND(Employee_Data!E330*1.05,-3)</f>
        <v>689000</v>
      </c>
      <c r="D330" s="16">
        <f>Employee_Data!E330</f>
        <v>656000</v>
      </c>
      <c r="E330" s="16">
        <f t="shared" si="25"/>
        <v>-33000</v>
      </c>
      <c r="F330" s="16">
        <f>ROUND(Employee_Data!G330*0.95,-3)</f>
        <v>14000</v>
      </c>
      <c r="G330" s="16">
        <f>Employee_Data!G330</f>
        <v>15000</v>
      </c>
      <c r="H330" s="16">
        <f t="shared" si="26"/>
        <v>1000</v>
      </c>
      <c r="I330" s="17">
        <f t="shared" si="27"/>
        <v>703000</v>
      </c>
      <c r="J330" s="17">
        <f t="shared" si="28"/>
        <v>671000</v>
      </c>
      <c r="K330" s="17">
        <f t="shared" si="29"/>
        <v>-32000</v>
      </c>
    </row>
    <row r="331" spans="1:11">
      <c r="A331" s="14" t="str">
        <f>Employee_Data!A331</f>
        <v>EMP0330</v>
      </c>
      <c r="B331" s="15" t="str">
        <f>Employee_Data!B331</f>
        <v>Human Resources</v>
      </c>
      <c r="C331" s="16">
        <f>ROUND(Employee_Data!E331*1.05,-3)</f>
        <v>683000</v>
      </c>
      <c r="D331" s="16">
        <f>Employee_Data!E331</f>
        <v>650000</v>
      </c>
      <c r="E331" s="16">
        <f t="shared" si="25"/>
        <v>-33000</v>
      </c>
      <c r="F331" s="16">
        <f>ROUND(Employee_Data!G331*0.95,-3)</f>
        <v>27000</v>
      </c>
      <c r="G331" s="16">
        <f>Employee_Data!G331</f>
        <v>28000</v>
      </c>
      <c r="H331" s="16">
        <f t="shared" si="26"/>
        <v>1000</v>
      </c>
      <c r="I331" s="17">
        <f t="shared" si="27"/>
        <v>710000</v>
      </c>
      <c r="J331" s="17">
        <f t="shared" si="28"/>
        <v>678000</v>
      </c>
      <c r="K331" s="17">
        <f t="shared" si="29"/>
        <v>-32000</v>
      </c>
    </row>
    <row r="332" spans="1:11">
      <c r="A332" s="14" t="str">
        <f>Employee_Data!A332</f>
        <v>EMP0331</v>
      </c>
      <c r="B332" s="15" t="str">
        <f>Employee_Data!B332</f>
        <v>Human Resources</v>
      </c>
      <c r="C332" s="16">
        <f>ROUND(Employee_Data!E332*1.05,-3)</f>
        <v>595000</v>
      </c>
      <c r="D332" s="16">
        <f>Employee_Data!E332</f>
        <v>567000</v>
      </c>
      <c r="E332" s="16">
        <f t="shared" si="25"/>
        <v>-28000</v>
      </c>
      <c r="F332" s="16">
        <f>ROUND(Employee_Data!G332*0.95,-3)</f>
        <v>33000</v>
      </c>
      <c r="G332" s="16">
        <f>Employee_Data!G332</f>
        <v>35000</v>
      </c>
      <c r="H332" s="16">
        <f t="shared" si="26"/>
        <v>2000</v>
      </c>
      <c r="I332" s="17">
        <f t="shared" si="27"/>
        <v>628000</v>
      </c>
      <c r="J332" s="17">
        <f t="shared" si="28"/>
        <v>602000</v>
      </c>
      <c r="K332" s="17">
        <f t="shared" si="29"/>
        <v>-26000</v>
      </c>
    </row>
    <row r="333" spans="1:11">
      <c r="A333" s="14" t="str">
        <f>Employee_Data!A333</f>
        <v>EMP0332</v>
      </c>
      <c r="B333" s="15" t="str">
        <f>Employee_Data!B333</f>
        <v>Human Resources</v>
      </c>
      <c r="C333" s="16">
        <f>ROUND(Employee_Data!E333*1.05,-3)</f>
        <v>533000</v>
      </c>
      <c r="D333" s="16">
        <f>Employee_Data!E333</f>
        <v>508000</v>
      </c>
      <c r="E333" s="16">
        <f t="shared" si="25"/>
        <v>-25000</v>
      </c>
      <c r="F333" s="16">
        <f>ROUND(Employee_Data!G333*0.95,-3)</f>
        <v>24000</v>
      </c>
      <c r="G333" s="16">
        <f>Employee_Data!G333</f>
        <v>25000</v>
      </c>
      <c r="H333" s="16">
        <f t="shared" si="26"/>
        <v>1000</v>
      </c>
      <c r="I333" s="17">
        <f t="shared" si="27"/>
        <v>557000</v>
      </c>
      <c r="J333" s="17">
        <f t="shared" si="28"/>
        <v>533000</v>
      </c>
      <c r="K333" s="17">
        <f t="shared" si="29"/>
        <v>-24000</v>
      </c>
    </row>
    <row r="334" spans="1:11">
      <c r="A334" s="14" t="str">
        <f>Employee_Data!A334</f>
        <v>EMP0333</v>
      </c>
      <c r="B334" s="15" t="str">
        <f>Employee_Data!B334</f>
        <v>Human Resources</v>
      </c>
      <c r="C334" s="16">
        <f>ROUND(Employee_Data!E334*1.05,-3)</f>
        <v>617000</v>
      </c>
      <c r="D334" s="16">
        <f>Employee_Data!E334</f>
        <v>588000</v>
      </c>
      <c r="E334" s="16">
        <f t="shared" si="25"/>
        <v>-29000</v>
      </c>
      <c r="F334" s="16">
        <f>ROUND(Employee_Data!G334*0.95,-3)</f>
        <v>21000</v>
      </c>
      <c r="G334" s="16">
        <f>Employee_Data!G334</f>
        <v>22000</v>
      </c>
      <c r="H334" s="16">
        <f t="shared" si="26"/>
        <v>1000</v>
      </c>
      <c r="I334" s="17">
        <f t="shared" si="27"/>
        <v>638000</v>
      </c>
      <c r="J334" s="17">
        <f t="shared" si="28"/>
        <v>610000</v>
      </c>
      <c r="K334" s="17">
        <f t="shared" si="29"/>
        <v>-28000</v>
      </c>
    </row>
    <row r="335" spans="1:11">
      <c r="A335" s="14" t="str">
        <f>Employee_Data!A335</f>
        <v>EMP0334</v>
      </c>
      <c r="B335" s="15" t="str">
        <f>Employee_Data!B335</f>
        <v>Human Resources</v>
      </c>
      <c r="C335" s="16">
        <f>ROUND(Employee_Data!E335*1.05,-3)</f>
        <v>569000</v>
      </c>
      <c r="D335" s="16">
        <f>Employee_Data!E335</f>
        <v>542000</v>
      </c>
      <c r="E335" s="16">
        <f t="shared" si="25"/>
        <v>-27000</v>
      </c>
      <c r="F335" s="16">
        <f>ROUND(Employee_Data!G335*0.95,-3)</f>
        <v>24000</v>
      </c>
      <c r="G335" s="16">
        <f>Employee_Data!G335</f>
        <v>25000</v>
      </c>
      <c r="H335" s="16">
        <f t="shared" si="26"/>
        <v>1000</v>
      </c>
      <c r="I335" s="17">
        <f t="shared" si="27"/>
        <v>593000</v>
      </c>
      <c r="J335" s="17">
        <f t="shared" si="28"/>
        <v>567000</v>
      </c>
      <c r="K335" s="17">
        <f t="shared" si="29"/>
        <v>-26000</v>
      </c>
    </row>
    <row r="336" spans="1:11">
      <c r="A336" s="14" t="str">
        <f>Employee_Data!A336</f>
        <v>EMP0335</v>
      </c>
      <c r="B336" s="15" t="str">
        <f>Employee_Data!B336</f>
        <v>Human Resources</v>
      </c>
      <c r="C336" s="16">
        <f>ROUND(Employee_Data!E336*1.05,-3)</f>
        <v>652000</v>
      </c>
      <c r="D336" s="16">
        <f>Employee_Data!E336</f>
        <v>621000</v>
      </c>
      <c r="E336" s="16">
        <f t="shared" si="25"/>
        <v>-31000</v>
      </c>
      <c r="F336" s="16">
        <f>ROUND(Employee_Data!G336*0.95,-3)</f>
        <v>17000</v>
      </c>
      <c r="G336" s="16">
        <f>Employee_Data!G336</f>
        <v>18000</v>
      </c>
      <c r="H336" s="16">
        <f t="shared" si="26"/>
        <v>1000</v>
      </c>
      <c r="I336" s="17">
        <f t="shared" si="27"/>
        <v>669000</v>
      </c>
      <c r="J336" s="17">
        <f t="shared" si="28"/>
        <v>639000</v>
      </c>
      <c r="K336" s="17">
        <f t="shared" si="29"/>
        <v>-30000</v>
      </c>
    </row>
    <row r="337" spans="1:11">
      <c r="A337" s="14" t="str">
        <f>Employee_Data!A337</f>
        <v>EMP0336</v>
      </c>
      <c r="B337" s="15" t="str">
        <f>Employee_Data!B337</f>
        <v>Human Resources</v>
      </c>
      <c r="C337" s="16">
        <f>ROUND(Employee_Data!E337*1.05,-3)</f>
        <v>798000</v>
      </c>
      <c r="D337" s="16">
        <f>Employee_Data!E337</f>
        <v>760000</v>
      </c>
      <c r="E337" s="16">
        <f t="shared" si="25"/>
        <v>-38000</v>
      </c>
      <c r="F337" s="16">
        <f>ROUND(Employee_Data!G337*0.95,-3)</f>
        <v>19000</v>
      </c>
      <c r="G337" s="16">
        <f>Employee_Data!G337</f>
        <v>20000</v>
      </c>
      <c r="H337" s="16">
        <f t="shared" si="26"/>
        <v>1000</v>
      </c>
      <c r="I337" s="17">
        <f t="shared" si="27"/>
        <v>817000</v>
      </c>
      <c r="J337" s="17">
        <f t="shared" si="28"/>
        <v>780000</v>
      </c>
      <c r="K337" s="17">
        <f t="shared" si="29"/>
        <v>-37000</v>
      </c>
    </row>
    <row r="338" spans="1:11">
      <c r="A338" s="14" t="str">
        <f>Employee_Data!A338</f>
        <v>EMP0337</v>
      </c>
      <c r="B338" s="15" t="str">
        <f>Employee_Data!B338</f>
        <v>Human Resources</v>
      </c>
      <c r="C338" s="16">
        <f>ROUND(Employee_Data!E338*1.05,-3)</f>
        <v>690000</v>
      </c>
      <c r="D338" s="16">
        <f>Employee_Data!E338</f>
        <v>657000</v>
      </c>
      <c r="E338" s="16">
        <f t="shared" si="25"/>
        <v>-33000</v>
      </c>
      <c r="F338" s="16">
        <f>ROUND(Employee_Data!G338*0.95,-3)</f>
        <v>19000</v>
      </c>
      <c r="G338" s="16">
        <f>Employee_Data!G338</f>
        <v>20000</v>
      </c>
      <c r="H338" s="16">
        <f t="shared" si="26"/>
        <v>1000</v>
      </c>
      <c r="I338" s="17">
        <f t="shared" si="27"/>
        <v>709000</v>
      </c>
      <c r="J338" s="17">
        <f t="shared" si="28"/>
        <v>677000</v>
      </c>
      <c r="K338" s="17">
        <f t="shared" si="29"/>
        <v>-32000</v>
      </c>
    </row>
    <row r="339" spans="1:11">
      <c r="A339" s="14" t="str">
        <f>Employee_Data!A339</f>
        <v>EMP0338</v>
      </c>
      <c r="B339" s="15" t="str">
        <f>Employee_Data!B339</f>
        <v>Human Resources</v>
      </c>
      <c r="C339" s="16">
        <f>ROUND(Employee_Data!E339*1.05,-3)</f>
        <v>831000</v>
      </c>
      <c r="D339" s="16">
        <f>Employee_Data!E339</f>
        <v>791000</v>
      </c>
      <c r="E339" s="16">
        <f t="shared" si="25"/>
        <v>-40000</v>
      </c>
      <c r="F339" s="16">
        <f>ROUND(Employee_Data!G339*0.95,-3)</f>
        <v>19000</v>
      </c>
      <c r="G339" s="16">
        <f>Employee_Data!G339</f>
        <v>20000</v>
      </c>
      <c r="H339" s="16">
        <f t="shared" si="26"/>
        <v>1000</v>
      </c>
      <c r="I339" s="17">
        <f t="shared" si="27"/>
        <v>850000</v>
      </c>
      <c r="J339" s="17">
        <f t="shared" si="28"/>
        <v>811000</v>
      </c>
      <c r="K339" s="17">
        <f t="shared" si="29"/>
        <v>-39000</v>
      </c>
    </row>
    <row r="340" spans="1:11">
      <c r="A340" s="14" t="str">
        <f>Employee_Data!A340</f>
        <v>EMP0339</v>
      </c>
      <c r="B340" s="15" t="str">
        <f>Employee_Data!B340</f>
        <v>Human Resources</v>
      </c>
      <c r="C340" s="16">
        <f>ROUND(Employee_Data!E340*1.05,-3)</f>
        <v>589000</v>
      </c>
      <c r="D340" s="16">
        <f>Employee_Data!E340</f>
        <v>561000</v>
      </c>
      <c r="E340" s="16">
        <f t="shared" si="25"/>
        <v>-28000</v>
      </c>
      <c r="F340" s="16">
        <f>ROUND(Employee_Data!G340*0.95,-3)</f>
        <v>24000</v>
      </c>
      <c r="G340" s="16">
        <f>Employee_Data!G340</f>
        <v>25000</v>
      </c>
      <c r="H340" s="16">
        <f t="shared" si="26"/>
        <v>1000</v>
      </c>
      <c r="I340" s="17">
        <f t="shared" si="27"/>
        <v>613000</v>
      </c>
      <c r="J340" s="17">
        <f t="shared" si="28"/>
        <v>586000</v>
      </c>
      <c r="K340" s="17">
        <f t="shared" si="29"/>
        <v>-27000</v>
      </c>
    </row>
    <row r="341" spans="1:11">
      <c r="A341" s="14" t="str">
        <f>Employee_Data!A341</f>
        <v>EMP0340</v>
      </c>
      <c r="B341" s="15" t="str">
        <f>Employee_Data!B341</f>
        <v>Human Resources</v>
      </c>
      <c r="C341" s="16">
        <f>ROUND(Employee_Data!E341*1.05,-3)</f>
        <v>691000</v>
      </c>
      <c r="D341" s="16">
        <f>Employee_Data!E341</f>
        <v>658000</v>
      </c>
      <c r="E341" s="16">
        <f t="shared" si="25"/>
        <v>-33000</v>
      </c>
      <c r="F341" s="16">
        <f>ROUND(Employee_Data!G341*0.95,-3)</f>
        <v>24000</v>
      </c>
      <c r="G341" s="16">
        <f>Employee_Data!G341</f>
        <v>25000</v>
      </c>
      <c r="H341" s="16">
        <f t="shared" si="26"/>
        <v>1000</v>
      </c>
      <c r="I341" s="17">
        <f t="shared" si="27"/>
        <v>715000</v>
      </c>
      <c r="J341" s="17">
        <f t="shared" si="28"/>
        <v>683000</v>
      </c>
      <c r="K341" s="17">
        <f t="shared" si="29"/>
        <v>-32000</v>
      </c>
    </row>
    <row r="342" spans="1:11">
      <c r="A342" s="14" t="str">
        <f>Employee_Data!A342</f>
        <v>EMP0341</v>
      </c>
      <c r="B342" s="15" t="str">
        <f>Employee_Data!B342</f>
        <v>Human Resources</v>
      </c>
      <c r="C342" s="16">
        <f>ROUND(Employee_Data!E342*1.05,-3)</f>
        <v>562000</v>
      </c>
      <c r="D342" s="16">
        <f>Employee_Data!E342</f>
        <v>535000</v>
      </c>
      <c r="E342" s="16">
        <f t="shared" si="25"/>
        <v>-27000</v>
      </c>
      <c r="F342" s="16">
        <f>ROUND(Employee_Data!G342*0.95,-3)</f>
        <v>29000</v>
      </c>
      <c r="G342" s="16">
        <f>Employee_Data!G342</f>
        <v>30000</v>
      </c>
      <c r="H342" s="16">
        <f t="shared" si="26"/>
        <v>1000</v>
      </c>
      <c r="I342" s="17">
        <f t="shared" si="27"/>
        <v>591000</v>
      </c>
      <c r="J342" s="17">
        <f t="shared" si="28"/>
        <v>565000</v>
      </c>
      <c r="K342" s="17">
        <f t="shared" si="29"/>
        <v>-26000</v>
      </c>
    </row>
    <row r="343" spans="1:11">
      <c r="A343" s="14" t="str">
        <f>Employee_Data!A343</f>
        <v>EMP0342</v>
      </c>
      <c r="B343" s="15" t="str">
        <f>Employee_Data!B343</f>
        <v>Human Resources</v>
      </c>
      <c r="C343" s="16">
        <f>ROUND(Employee_Data!E343*1.05,-3)</f>
        <v>867000</v>
      </c>
      <c r="D343" s="16">
        <f>Employee_Data!E343</f>
        <v>826000</v>
      </c>
      <c r="E343" s="16">
        <f t="shared" si="25"/>
        <v>-41000</v>
      </c>
      <c r="F343" s="16">
        <f>ROUND(Employee_Data!G343*0.95,-3)</f>
        <v>14000</v>
      </c>
      <c r="G343" s="16">
        <f>Employee_Data!G343</f>
        <v>15000</v>
      </c>
      <c r="H343" s="16">
        <f t="shared" si="26"/>
        <v>1000</v>
      </c>
      <c r="I343" s="17">
        <f t="shared" si="27"/>
        <v>881000</v>
      </c>
      <c r="J343" s="17">
        <f t="shared" si="28"/>
        <v>841000</v>
      </c>
      <c r="K343" s="17">
        <f t="shared" si="29"/>
        <v>-40000</v>
      </c>
    </row>
    <row r="344" spans="1:11">
      <c r="A344" s="14" t="str">
        <f>Employee_Data!A344</f>
        <v>EMP0343</v>
      </c>
      <c r="B344" s="15" t="str">
        <f>Employee_Data!B344</f>
        <v>Human Resources</v>
      </c>
      <c r="C344" s="16">
        <f>ROUND(Employee_Data!E344*1.05,-3)</f>
        <v>603000</v>
      </c>
      <c r="D344" s="16">
        <f>Employee_Data!E344</f>
        <v>574000</v>
      </c>
      <c r="E344" s="16">
        <f t="shared" si="25"/>
        <v>-29000</v>
      </c>
      <c r="F344" s="16">
        <f>ROUND(Employee_Data!G344*0.95,-3)</f>
        <v>21000</v>
      </c>
      <c r="G344" s="16">
        <f>Employee_Data!G344</f>
        <v>22000</v>
      </c>
      <c r="H344" s="16">
        <f t="shared" si="26"/>
        <v>1000</v>
      </c>
      <c r="I344" s="17">
        <f t="shared" si="27"/>
        <v>624000</v>
      </c>
      <c r="J344" s="17">
        <f t="shared" si="28"/>
        <v>596000</v>
      </c>
      <c r="K344" s="17">
        <f t="shared" si="29"/>
        <v>-28000</v>
      </c>
    </row>
    <row r="345" spans="1:11">
      <c r="A345" s="14" t="str">
        <f>Employee_Data!A345</f>
        <v>EMP0344</v>
      </c>
      <c r="B345" s="15" t="str">
        <f>Employee_Data!B345</f>
        <v>Human Resources</v>
      </c>
      <c r="C345" s="16">
        <f>ROUND(Employee_Data!E345*1.05,-3)</f>
        <v>639000</v>
      </c>
      <c r="D345" s="16">
        <f>Employee_Data!E345</f>
        <v>609000</v>
      </c>
      <c r="E345" s="16">
        <f t="shared" si="25"/>
        <v>-30000</v>
      </c>
      <c r="F345" s="16">
        <f>ROUND(Employee_Data!G345*0.95,-3)</f>
        <v>29000</v>
      </c>
      <c r="G345" s="16">
        <f>Employee_Data!G345</f>
        <v>30000</v>
      </c>
      <c r="H345" s="16">
        <f t="shared" si="26"/>
        <v>1000</v>
      </c>
      <c r="I345" s="17">
        <f t="shared" si="27"/>
        <v>668000</v>
      </c>
      <c r="J345" s="17">
        <f t="shared" si="28"/>
        <v>639000</v>
      </c>
      <c r="K345" s="17">
        <f t="shared" si="29"/>
        <v>-29000</v>
      </c>
    </row>
    <row r="346" spans="1:11">
      <c r="A346" s="14" t="str">
        <f>Employee_Data!A346</f>
        <v>EMP0345</v>
      </c>
      <c r="B346" s="15" t="str">
        <f>Employee_Data!B346</f>
        <v>Human Resources</v>
      </c>
      <c r="C346" s="16">
        <f>ROUND(Employee_Data!E346*1.05,-3)</f>
        <v>571000</v>
      </c>
      <c r="D346" s="16">
        <f>Employee_Data!E346</f>
        <v>544000</v>
      </c>
      <c r="E346" s="16">
        <f t="shared" si="25"/>
        <v>-27000</v>
      </c>
      <c r="F346" s="16">
        <f>ROUND(Employee_Data!G346*0.95,-3)</f>
        <v>17000</v>
      </c>
      <c r="G346" s="16">
        <f>Employee_Data!G346</f>
        <v>18000</v>
      </c>
      <c r="H346" s="16">
        <f t="shared" si="26"/>
        <v>1000</v>
      </c>
      <c r="I346" s="17">
        <f t="shared" si="27"/>
        <v>588000</v>
      </c>
      <c r="J346" s="17">
        <f t="shared" si="28"/>
        <v>562000</v>
      </c>
      <c r="K346" s="17">
        <f t="shared" si="29"/>
        <v>-26000</v>
      </c>
    </row>
    <row r="347" spans="1:11">
      <c r="A347" s="14" t="str">
        <f>Employee_Data!A347</f>
        <v>EMP0346</v>
      </c>
      <c r="B347" s="15" t="str">
        <f>Employee_Data!B347</f>
        <v>Human Resources</v>
      </c>
      <c r="C347" s="16">
        <f>ROUND(Employee_Data!E347*1.05,-3)</f>
        <v>677000</v>
      </c>
      <c r="D347" s="16">
        <f>Employee_Data!E347</f>
        <v>645000</v>
      </c>
      <c r="E347" s="16">
        <f t="shared" si="25"/>
        <v>-32000</v>
      </c>
      <c r="F347" s="16">
        <f>ROUND(Employee_Data!G347*0.95,-3)</f>
        <v>21000</v>
      </c>
      <c r="G347" s="16">
        <f>Employee_Data!G347</f>
        <v>22000</v>
      </c>
      <c r="H347" s="16">
        <f t="shared" si="26"/>
        <v>1000</v>
      </c>
      <c r="I347" s="17">
        <f t="shared" si="27"/>
        <v>698000</v>
      </c>
      <c r="J347" s="17">
        <f t="shared" si="28"/>
        <v>667000</v>
      </c>
      <c r="K347" s="17">
        <f t="shared" si="29"/>
        <v>-31000</v>
      </c>
    </row>
    <row r="348" spans="1:11">
      <c r="A348" s="14" t="str">
        <f>Employee_Data!A348</f>
        <v>EMP0347</v>
      </c>
      <c r="B348" s="15" t="str">
        <f>Employee_Data!B348</f>
        <v>Human Resources</v>
      </c>
      <c r="C348" s="16">
        <f>ROUND(Employee_Data!E348*1.05,-3)</f>
        <v>695000</v>
      </c>
      <c r="D348" s="16">
        <f>Employee_Data!E348</f>
        <v>662000</v>
      </c>
      <c r="E348" s="16">
        <f t="shared" si="25"/>
        <v>-33000</v>
      </c>
      <c r="F348" s="16">
        <f>ROUND(Employee_Data!G348*0.95,-3)</f>
        <v>14000</v>
      </c>
      <c r="G348" s="16">
        <f>Employee_Data!G348</f>
        <v>15000</v>
      </c>
      <c r="H348" s="16">
        <f t="shared" si="26"/>
        <v>1000</v>
      </c>
      <c r="I348" s="17">
        <f t="shared" si="27"/>
        <v>709000</v>
      </c>
      <c r="J348" s="17">
        <f t="shared" si="28"/>
        <v>677000</v>
      </c>
      <c r="K348" s="17">
        <f t="shared" si="29"/>
        <v>-32000</v>
      </c>
    </row>
    <row r="349" spans="1:11">
      <c r="A349" s="14" t="str">
        <f>Employee_Data!A349</f>
        <v>EMP0348</v>
      </c>
      <c r="B349" s="15" t="str">
        <f>Employee_Data!B349</f>
        <v>Human Resources</v>
      </c>
      <c r="C349" s="16">
        <f>ROUND(Employee_Data!E349*1.05,-3)</f>
        <v>698000</v>
      </c>
      <c r="D349" s="16">
        <f>Employee_Data!E349</f>
        <v>665000</v>
      </c>
      <c r="E349" s="16">
        <f t="shared" si="25"/>
        <v>-33000</v>
      </c>
      <c r="F349" s="16">
        <f>ROUND(Employee_Data!G349*0.95,-3)</f>
        <v>33000</v>
      </c>
      <c r="G349" s="16">
        <f>Employee_Data!G349</f>
        <v>35000</v>
      </c>
      <c r="H349" s="16">
        <f t="shared" si="26"/>
        <v>2000</v>
      </c>
      <c r="I349" s="17">
        <f t="shared" si="27"/>
        <v>731000</v>
      </c>
      <c r="J349" s="17">
        <f t="shared" si="28"/>
        <v>700000</v>
      </c>
      <c r="K349" s="17">
        <f t="shared" si="29"/>
        <v>-31000</v>
      </c>
    </row>
    <row r="350" spans="1:11">
      <c r="A350" s="14" t="str">
        <f>Employee_Data!A350</f>
        <v>EMP0349</v>
      </c>
      <c r="B350" s="15" t="str">
        <f>Employee_Data!B350</f>
        <v>Human Resources</v>
      </c>
      <c r="C350" s="16">
        <f>ROUND(Employee_Data!E350*1.05,-3)</f>
        <v>542000</v>
      </c>
      <c r="D350" s="16">
        <f>Employee_Data!E350</f>
        <v>516000</v>
      </c>
      <c r="E350" s="16">
        <f t="shared" si="25"/>
        <v>-26000</v>
      </c>
      <c r="F350" s="16">
        <f>ROUND(Employee_Data!G350*0.95,-3)</f>
        <v>27000</v>
      </c>
      <c r="G350" s="16">
        <f>Employee_Data!G350</f>
        <v>28000</v>
      </c>
      <c r="H350" s="16">
        <f t="shared" si="26"/>
        <v>1000</v>
      </c>
      <c r="I350" s="17">
        <f t="shared" si="27"/>
        <v>569000</v>
      </c>
      <c r="J350" s="17">
        <f t="shared" si="28"/>
        <v>544000</v>
      </c>
      <c r="K350" s="17">
        <f t="shared" si="29"/>
        <v>-25000</v>
      </c>
    </row>
    <row r="351" spans="1:11">
      <c r="A351" s="14" t="str">
        <f>Employee_Data!A351</f>
        <v>EMP0350</v>
      </c>
      <c r="B351" s="15" t="str">
        <f>Employee_Data!B351</f>
        <v>Human Resources</v>
      </c>
      <c r="C351" s="16">
        <f>ROUND(Employee_Data!E351*1.05,-3)</f>
        <v>688000</v>
      </c>
      <c r="D351" s="16">
        <f>Employee_Data!E351</f>
        <v>655000</v>
      </c>
      <c r="E351" s="16">
        <f t="shared" si="25"/>
        <v>-33000</v>
      </c>
      <c r="F351" s="16">
        <f>ROUND(Employee_Data!G351*0.95,-3)</f>
        <v>24000</v>
      </c>
      <c r="G351" s="16">
        <f>Employee_Data!G351</f>
        <v>25000</v>
      </c>
      <c r="H351" s="16">
        <f t="shared" si="26"/>
        <v>1000</v>
      </c>
      <c r="I351" s="17">
        <f t="shared" si="27"/>
        <v>712000</v>
      </c>
      <c r="J351" s="17">
        <f t="shared" si="28"/>
        <v>680000</v>
      </c>
      <c r="K351" s="17">
        <f t="shared" si="29"/>
        <v>-32000</v>
      </c>
    </row>
    <row r="352" spans="1:11">
      <c r="A352" s="14" t="str">
        <f>Employee_Data!A352</f>
        <v>EMP0351</v>
      </c>
      <c r="B352" s="15" t="str">
        <f>Employee_Data!B352</f>
        <v>Human Resources</v>
      </c>
      <c r="C352" s="16">
        <f>ROUND(Employee_Data!E352*1.05,-3)</f>
        <v>551000</v>
      </c>
      <c r="D352" s="16">
        <f>Employee_Data!E352</f>
        <v>525000</v>
      </c>
      <c r="E352" s="16">
        <f t="shared" si="25"/>
        <v>-26000</v>
      </c>
      <c r="F352" s="16">
        <f>ROUND(Employee_Data!G352*0.95,-3)</f>
        <v>21000</v>
      </c>
      <c r="G352" s="16">
        <f>Employee_Data!G352</f>
        <v>22000</v>
      </c>
      <c r="H352" s="16">
        <f t="shared" si="26"/>
        <v>1000</v>
      </c>
      <c r="I352" s="17">
        <f t="shared" si="27"/>
        <v>572000</v>
      </c>
      <c r="J352" s="17">
        <f t="shared" si="28"/>
        <v>547000</v>
      </c>
      <c r="K352" s="17">
        <f t="shared" si="29"/>
        <v>-25000</v>
      </c>
    </row>
    <row r="353" spans="1:11">
      <c r="A353" s="14" t="str">
        <f>Employee_Data!A353</f>
        <v>EMP0352</v>
      </c>
      <c r="B353" s="15" t="str">
        <f>Employee_Data!B353</f>
        <v>Human Resources</v>
      </c>
      <c r="C353" s="16">
        <f>ROUND(Employee_Data!E353*1.05,-3)</f>
        <v>1292000</v>
      </c>
      <c r="D353" s="16">
        <f>Employee_Data!E353</f>
        <v>1230000</v>
      </c>
      <c r="E353" s="16">
        <f t="shared" si="25"/>
        <v>-62000</v>
      </c>
      <c r="F353" s="16">
        <f>ROUND(Employee_Data!G353*0.95,-3)</f>
        <v>33000</v>
      </c>
      <c r="G353" s="16">
        <f>Employee_Data!G353</f>
        <v>35000</v>
      </c>
      <c r="H353" s="16">
        <f t="shared" si="26"/>
        <v>2000</v>
      </c>
      <c r="I353" s="17">
        <f t="shared" si="27"/>
        <v>1325000</v>
      </c>
      <c r="J353" s="17">
        <f t="shared" si="28"/>
        <v>1265000</v>
      </c>
      <c r="K353" s="17">
        <f t="shared" si="29"/>
        <v>-60000</v>
      </c>
    </row>
    <row r="354" spans="1:11">
      <c r="A354" s="14" t="str">
        <f>Employee_Data!A354</f>
        <v>EMP0353</v>
      </c>
      <c r="B354" s="15" t="str">
        <f>Employee_Data!B354</f>
        <v>Human Resources</v>
      </c>
      <c r="C354" s="16">
        <f>ROUND(Employee_Data!E354*1.05,-3)</f>
        <v>638000</v>
      </c>
      <c r="D354" s="16">
        <f>Employee_Data!E354</f>
        <v>608000</v>
      </c>
      <c r="E354" s="16">
        <f t="shared" si="25"/>
        <v>-30000</v>
      </c>
      <c r="F354" s="16">
        <f>ROUND(Employee_Data!G354*0.95,-3)</f>
        <v>24000</v>
      </c>
      <c r="G354" s="16">
        <f>Employee_Data!G354</f>
        <v>25000</v>
      </c>
      <c r="H354" s="16">
        <f t="shared" si="26"/>
        <v>1000</v>
      </c>
      <c r="I354" s="17">
        <f t="shared" si="27"/>
        <v>662000</v>
      </c>
      <c r="J354" s="17">
        <f t="shared" si="28"/>
        <v>633000</v>
      </c>
      <c r="K354" s="17">
        <f t="shared" si="29"/>
        <v>-29000</v>
      </c>
    </row>
    <row r="355" spans="1:11">
      <c r="A355" s="14" t="str">
        <f>Employee_Data!A355</f>
        <v>EMP0354</v>
      </c>
      <c r="B355" s="15" t="str">
        <f>Employee_Data!B355</f>
        <v>Human Resources</v>
      </c>
      <c r="C355" s="16">
        <f>ROUND(Employee_Data!E355*1.05,-3)</f>
        <v>696000</v>
      </c>
      <c r="D355" s="16">
        <f>Employee_Data!E355</f>
        <v>663000</v>
      </c>
      <c r="E355" s="16">
        <f t="shared" si="25"/>
        <v>-33000</v>
      </c>
      <c r="F355" s="16">
        <f>ROUND(Employee_Data!G355*0.95,-3)</f>
        <v>29000</v>
      </c>
      <c r="G355" s="16">
        <f>Employee_Data!G355</f>
        <v>30000</v>
      </c>
      <c r="H355" s="16">
        <f t="shared" si="26"/>
        <v>1000</v>
      </c>
      <c r="I355" s="17">
        <f t="shared" si="27"/>
        <v>725000</v>
      </c>
      <c r="J355" s="17">
        <f t="shared" si="28"/>
        <v>693000</v>
      </c>
      <c r="K355" s="17">
        <f t="shared" si="29"/>
        <v>-32000</v>
      </c>
    </row>
    <row r="356" spans="1:11">
      <c r="A356" s="14" t="str">
        <f>Employee_Data!A356</f>
        <v>EMP0355</v>
      </c>
      <c r="B356" s="15" t="str">
        <f>Employee_Data!B356</f>
        <v>Human Resources</v>
      </c>
      <c r="C356" s="16">
        <f>ROUND(Employee_Data!E356*1.05,-3)</f>
        <v>1074000</v>
      </c>
      <c r="D356" s="16">
        <f>Employee_Data!E356</f>
        <v>1023000</v>
      </c>
      <c r="E356" s="16">
        <f t="shared" si="25"/>
        <v>-51000</v>
      </c>
      <c r="F356" s="16">
        <f>ROUND(Employee_Data!G356*0.95,-3)</f>
        <v>24000</v>
      </c>
      <c r="G356" s="16">
        <f>Employee_Data!G356</f>
        <v>25000</v>
      </c>
      <c r="H356" s="16">
        <f t="shared" si="26"/>
        <v>1000</v>
      </c>
      <c r="I356" s="17">
        <f t="shared" si="27"/>
        <v>1098000</v>
      </c>
      <c r="J356" s="17">
        <f t="shared" si="28"/>
        <v>1048000</v>
      </c>
      <c r="K356" s="17">
        <f t="shared" si="29"/>
        <v>-50000</v>
      </c>
    </row>
    <row r="357" spans="1:11">
      <c r="A357" s="14" t="str">
        <f>Employee_Data!A357</f>
        <v>EMP0356</v>
      </c>
      <c r="B357" s="15" t="str">
        <f>Employee_Data!B357</f>
        <v>Human Resources</v>
      </c>
      <c r="C357" s="16">
        <f>ROUND(Employee_Data!E357*1.05,-3)</f>
        <v>637000</v>
      </c>
      <c r="D357" s="16">
        <f>Employee_Data!E357</f>
        <v>607000</v>
      </c>
      <c r="E357" s="16">
        <f t="shared" si="25"/>
        <v>-30000</v>
      </c>
      <c r="F357" s="16">
        <f>ROUND(Employee_Data!G357*0.95,-3)</f>
        <v>33000</v>
      </c>
      <c r="G357" s="16">
        <f>Employee_Data!G357</f>
        <v>35000</v>
      </c>
      <c r="H357" s="16">
        <f t="shared" si="26"/>
        <v>2000</v>
      </c>
      <c r="I357" s="17">
        <f t="shared" si="27"/>
        <v>670000</v>
      </c>
      <c r="J357" s="17">
        <f t="shared" si="28"/>
        <v>642000</v>
      </c>
      <c r="K357" s="17">
        <f t="shared" si="29"/>
        <v>-28000</v>
      </c>
    </row>
    <row r="358" spans="1:11">
      <c r="A358" s="14" t="str">
        <f>Employee_Data!A358</f>
        <v>EMP0357</v>
      </c>
      <c r="B358" s="15" t="str">
        <f>Employee_Data!B358</f>
        <v>Human Resources</v>
      </c>
      <c r="C358" s="16">
        <f>ROUND(Employee_Data!E358*1.05,-3)</f>
        <v>786000</v>
      </c>
      <c r="D358" s="16">
        <f>Employee_Data!E358</f>
        <v>749000</v>
      </c>
      <c r="E358" s="16">
        <f t="shared" si="25"/>
        <v>-37000</v>
      </c>
      <c r="F358" s="16">
        <f>ROUND(Employee_Data!G358*0.95,-3)</f>
        <v>24000</v>
      </c>
      <c r="G358" s="16">
        <f>Employee_Data!G358</f>
        <v>25000</v>
      </c>
      <c r="H358" s="16">
        <f t="shared" si="26"/>
        <v>1000</v>
      </c>
      <c r="I358" s="17">
        <f t="shared" si="27"/>
        <v>810000</v>
      </c>
      <c r="J358" s="17">
        <f t="shared" si="28"/>
        <v>774000</v>
      </c>
      <c r="K358" s="17">
        <f t="shared" si="29"/>
        <v>-36000</v>
      </c>
    </row>
    <row r="359" spans="1:11">
      <c r="A359" s="14" t="str">
        <f>Employee_Data!A359</f>
        <v>EMP0358</v>
      </c>
      <c r="B359" s="15" t="str">
        <f>Employee_Data!B359</f>
        <v>Human Resources</v>
      </c>
      <c r="C359" s="16">
        <f>ROUND(Employee_Data!E359*1.05,-3)</f>
        <v>648000</v>
      </c>
      <c r="D359" s="16">
        <f>Employee_Data!E359</f>
        <v>617000</v>
      </c>
      <c r="E359" s="16">
        <f t="shared" si="25"/>
        <v>-31000</v>
      </c>
      <c r="F359" s="16">
        <f>ROUND(Employee_Data!G359*0.95,-3)</f>
        <v>21000</v>
      </c>
      <c r="G359" s="16">
        <f>Employee_Data!G359</f>
        <v>22000</v>
      </c>
      <c r="H359" s="16">
        <f t="shared" si="26"/>
        <v>1000</v>
      </c>
      <c r="I359" s="17">
        <f t="shared" si="27"/>
        <v>669000</v>
      </c>
      <c r="J359" s="17">
        <f t="shared" si="28"/>
        <v>639000</v>
      </c>
      <c r="K359" s="17">
        <f t="shared" si="29"/>
        <v>-30000</v>
      </c>
    </row>
    <row r="360" spans="1:11">
      <c r="A360" s="14" t="str">
        <f>Employee_Data!A360</f>
        <v>EMP0359</v>
      </c>
      <c r="B360" s="15" t="str">
        <f>Employee_Data!B360</f>
        <v>Human Resources</v>
      </c>
      <c r="C360" s="16">
        <f>ROUND(Employee_Data!E360*1.05,-3)</f>
        <v>572000</v>
      </c>
      <c r="D360" s="16">
        <f>Employee_Data!E360</f>
        <v>545000</v>
      </c>
      <c r="E360" s="16">
        <f t="shared" si="25"/>
        <v>-27000</v>
      </c>
      <c r="F360" s="16">
        <f>ROUND(Employee_Data!G360*0.95,-3)</f>
        <v>17000</v>
      </c>
      <c r="G360" s="16">
        <f>Employee_Data!G360</f>
        <v>18000</v>
      </c>
      <c r="H360" s="16">
        <f t="shared" si="26"/>
        <v>1000</v>
      </c>
      <c r="I360" s="17">
        <f t="shared" si="27"/>
        <v>589000</v>
      </c>
      <c r="J360" s="17">
        <f t="shared" si="28"/>
        <v>563000</v>
      </c>
      <c r="K360" s="17">
        <f t="shared" si="29"/>
        <v>-26000</v>
      </c>
    </row>
    <row r="361" spans="1:11">
      <c r="A361" s="14" t="str">
        <f>Employee_Data!A361</f>
        <v>EMP0360</v>
      </c>
      <c r="B361" s="15" t="str">
        <f>Employee_Data!B361</f>
        <v>Human Resources</v>
      </c>
      <c r="C361" s="16">
        <f>ROUND(Employee_Data!E361*1.05,-3)</f>
        <v>643000</v>
      </c>
      <c r="D361" s="16">
        <f>Employee_Data!E361</f>
        <v>612000</v>
      </c>
      <c r="E361" s="16">
        <f t="shared" si="25"/>
        <v>-31000</v>
      </c>
      <c r="F361" s="16">
        <f>ROUND(Employee_Data!G361*0.95,-3)</f>
        <v>19000</v>
      </c>
      <c r="G361" s="16">
        <f>Employee_Data!G361</f>
        <v>20000</v>
      </c>
      <c r="H361" s="16">
        <f t="shared" si="26"/>
        <v>1000</v>
      </c>
      <c r="I361" s="17">
        <f t="shared" si="27"/>
        <v>662000</v>
      </c>
      <c r="J361" s="17">
        <f t="shared" si="28"/>
        <v>632000</v>
      </c>
      <c r="K361" s="17">
        <f t="shared" si="29"/>
        <v>-30000</v>
      </c>
    </row>
    <row r="362" spans="1:11">
      <c r="A362" s="14" t="str">
        <f>Employee_Data!A362</f>
        <v>EMP0361</v>
      </c>
      <c r="B362" s="15" t="str">
        <f>Employee_Data!B362</f>
        <v>Human Resources</v>
      </c>
      <c r="C362" s="16">
        <f>ROUND(Employee_Data!E362*1.05,-3)</f>
        <v>1091000</v>
      </c>
      <c r="D362" s="16">
        <f>Employee_Data!E362</f>
        <v>1039000</v>
      </c>
      <c r="E362" s="16">
        <f t="shared" si="25"/>
        <v>-52000</v>
      </c>
      <c r="F362" s="16">
        <f>ROUND(Employee_Data!G362*0.95,-3)</f>
        <v>21000</v>
      </c>
      <c r="G362" s="16">
        <f>Employee_Data!G362</f>
        <v>22000</v>
      </c>
      <c r="H362" s="16">
        <f t="shared" si="26"/>
        <v>1000</v>
      </c>
      <c r="I362" s="17">
        <f t="shared" si="27"/>
        <v>1112000</v>
      </c>
      <c r="J362" s="17">
        <f t="shared" si="28"/>
        <v>1061000</v>
      </c>
      <c r="K362" s="17">
        <f t="shared" si="29"/>
        <v>-51000</v>
      </c>
    </row>
    <row r="363" spans="1:11">
      <c r="A363" s="14" t="str">
        <f>Employee_Data!A363</f>
        <v>EMP0362</v>
      </c>
      <c r="B363" s="15" t="str">
        <f>Employee_Data!B363</f>
        <v>Human Resources</v>
      </c>
      <c r="C363" s="16">
        <f>ROUND(Employee_Data!E363*1.05,-3)</f>
        <v>557000</v>
      </c>
      <c r="D363" s="16">
        <f>Employee_Data!E363</f>
        <v>530000</v>
      </c>
      <c r="E363" s="16">
        <f t="shared" si="25"/>
        <v>-27000</v>
      </c>
      <c r="F363" s="16">
        <f>ROUND(Employee_Data!G363*0.95,-3)</f>
        <v>17000</v>
      </c>
      <c r="G363" s="16">
        <f>Employee_Data!G363</f>
        <v>18000</v>
      </c>
      <c r="H363" s="16">
        <f t="shared" si="26"/>
        <v>1000</v>
      </c>
      <c r="I363" s="17">
        <f t="shared" si="27"/>
        <v>574000</v>
      </c>
      <c r="J363" s="17">
        <f t="shared" si="28"/>
        <v>548000</v>
      </c>
      <c r="K363" s="17">
        <f t="shared" si="29"/>
        <v>-26000</v>
      </c>
    </row>
    <row r="364" spans="1:11">
      <c r="A364" s="14" t="str">
        <f>Employee_Data!A364</f>
        <v>EMP0363</v>
      </c>
      <c r="B364" s="15" t="str">
        <f>Employee_Data!B364</f>
        <v>Human Resources</v>
      </c>
      <c r="C364" s="16">
        <f>ROUND(Employee_Data!E364*1.05,-3)</f>
        <v>613000</v>
      </c>
      <c r="D364" s="16">
        <f>Employee_Data!E364</f>
        <v>584000</v>
      </c>
      <c r="E364" s="16">
        <f t="shared" si="25"/>
        <v>-29000</v>
      </c>
      <c r="F364" s="16">
        <f>ROUND(Employee_Data!G364*0.95,-3)</f>
        <v>14000</v>
      </c>
      <c r="G364" s="16">
        <f>Employee_Data!G364</f>
        <v>15000</v>
      </c>
      <c r="H364" s="16">
        <f t="shared" si="26"/>
        <v>1000</v>
      </c>
      <c r="I364" s="17">
        <f t="shared" si="27"/>
        <v>627000</v>
      </c>
      <c r="J364" s="17">
        <f t="shared" si="28"/>
        <v>599000</v>
      </c>
      <c r="K364" s="17">
        <f t="shared" si="29"/>
        <v>-28000</v>
      </c>
    </row>
    <row r="365" spans="1:11">
      <c r="A365" s="14" t="str">
        <f>Employee_Data!A365</f>
        <v>EMP0364</v>
      </c>
      <c r="B365" s="15" t="str">
        <f>Employee_Data!B365</f>
        <v>Human Resources</v>
      </c>
      <c r="C365" s="16">
        <f>ROUND(Employee_Data!E365*1.05,-3)</f>
        <v>632000</v>
      </c>
      <c r="D365" s="16">
        <f>Employee_Data!E365</f>
        <v>602000</v>
      </c>
      <c r="E365" s="16">
        <f t="shared" si="25"/>
        <v>-30000</v>
      </c>
      <c r="F365" s="16">
        <f>ROUND(Employee_Data!G365*0.95,-3)</f>
        <v>14000</v>
      </c>
      <c r="G365" s="16">
        <f>Employee_Data!G365</f>
        <v>15000</v>
      </c>
      <c r="H365" s="16">
        <f t="shared" si="26"/>
        <v>1000</v>
      </c>
      <c r="I365" s="17">
        <f t="shared" si="27"/>
        <v>646000</v>
      </c>
      <c r="J365" s="17">
        <f t="shared" si="28"/>
        <v>617000</v>
      </c>
      <c r="K365" s="17">
        <f t="shared" si="29"/>
        <v>-29000</v>
      </c>
    </row>
    <row r="366" spans="1:11">
      <c r="A366" s="14" t="str">
        <f>Employee_Data!A366</f>
        <v>EMP0365</v>
      </c>
      <c r="B366" s="15" t="str">
        <f>Employee_Data!B366</f>
        <v>Human Resources</v>
      </c>
      <c r="C366" s="16">
        <f>ROUND(Employee_Data!E366*1.05,-3)</f>
        <v>689000</v>
      </c>
      <c r="D366" s="16">
        <f>Employee_Data!E366</f>
        <v>656000</v>
      </c>
      <c r="E366" s="16">
        <f t="shared" si="25"/>
        <v>-33000</v>
      </c>
      <c r="F366" s="16">
        <f>ROUND(Employee_Data!G366*0.95,-3)</f>
        <v>24000</v>
      </c>
      <c r="G366" s="16">
        <f>Employee_Data!G366</f>
        <v>25000</v>
      </c>
      <c r="H366" s="16">
        <f t="shared" si="26"/>
        <v>1000</v>
      </c>
      <c r="I366" s="17">
        <f t="shared" si="27"/>
        <v>713000</v>
      </c>
      <c r="J366" s="17">
        <f t="shared" si="28"/>
        <v>681000</v>
      </c>
      <c r="K366" s="17">
        <f t="shared" si="29"/>
        <v>-32000</v>
      </c>
    </row>
    <row r="367" spans="1:11">
      <c r="A367" s="14" t="str">
        <f>Employee_Data!A367</f>
        <v>EMP0366</v>
      </c>
      <c r="B367" s="15" t="str">
        <f>Employee_Data!B367</f>
        <v>Human Resources</v>
      </c>
      <c r="C367" s="16">
        <f>ROUND(Employee_Data!E367*1.05,-3)</f>
        <v>592000</v>
      </c>
      <c r="D367" s="16">
        <f>Employee_Data!E367</f>
        <v>564000</v>
      </c>
      <c r="E367" s="16">
        <f t="shared" si="25"/>
        <v>-28000</v>
      </c>
      <c r="F367" s="16">
        <f>ROUND(Employee_Data!G367*0.95,-3)</f>
        <v>27000</v>
      </c>
      <c r="G367" s="16">
        <f>Employee_Data!G367</f>
        <v>28000</v>
      </c>
      <c r="H367" s="16">
        <f t="shared" si="26"/>
        <v>1000</v>
      </c>
      <c r="I367" s="17">
        <f t="shared" si="27"/>
        <v>619000</v>
      </c>
      <c r="J367" s="17">
        <f t="shared" si="28"/>
        <v>592000</v>
      </c>
      <c r="K367" s="17">
        <f t="shared" si="29"/>
        <v>-27000</v>
      </c>
    </row>
    <row r="368" spans="1:11">
      <c r="A368" s="14" t="str">
        <f>Employee_Data!A368</f>
        <v>EMP0367</v>
      </c>
      <c r="B368" s="15" t="str">
        <f>Employee_Data!B368</f>
        <v>Human Resources</v>
      </c>
      <c r="C368" s="16">
        <f>ROUND(Employee_Data!E368*1.05,-3)</f>
        <v>1231000</v>
      </c>
      <c r="D368" s="16">
        <f>Employee_Data!E368</f>
        <v>1172000</v>
      </c>
      <c r="E368" s="16">
        <f t="shared" si="25"/>
        <v>-59000</v>
      </c>
      <c r="F368" s="16">
        <f>ROUND(Employee_Data!G368*0.95,-3)</f>
        <v>19000</v>
      </c>
      <c r="G368" s="16">
        <f>Employee_Data!G368</f>
        <v>20000</v>
      </c>
      <c r="H368" s="16">
        <f t="shared" si="26"/>
        <v>1000</v>
      </c>
      <c r="I368" s="17">
        <f t="shared" si="27"/>
        <v>1250000</v>
      </c>
      <c r="J368" s="17">
        <f t="shared" si="28"/>
        <v>1192000</v>
      </c>
      <c r="K368" s="17">
        <f t="shared" si="29"/>
        <v>-58000</v>
      </c>
    </row>
    <row r="369" spans="1:11">
      <c r="A369" s="14" t="str">
        <f>Employee_Data!A369</f>
        <v>EMP0368</v>
      </c>
      <c r="B369" s="15" t="str">
        <f>Employee_Data!B369</f>
        <v>Human Resources</v>
      </c>
      <c r="C369" s="16">
        <f>ROUND(Employee_Data!E369*1.05,-3)</f>
        <v>644000</v>
      </c>
      <c r="D369" s="16">
        <f>Employee_Data!E369</f>
        <v>613000</v>
      </c>
      <c r="E369" s="16">
        <f t="shared" si="25"/>
        <v>-31000</v>
      </c>
      <c r="F369" s="16">
        <f>ROUND(Employee_Data!G369*0.95,-3)</f>
        <v>19000</v>
      </c>
      <c r="G369" s="16">
        <f>Employee_Data!G369</f>
        <v>20000</v>
      </c>
      <c r="H369" s="16">
        <f t="shared" si="26"/>
        <v>1000</v>
      </c>
      <c r="I369" s="17">
        <f t="shared" si="27"/>
        <v>663000</v>
      </c>
      <c r="J369" s="17">
        <f t="shared" si="28"/>
        <v>633000</v>
      </c>
      <c r="K369" s="17">
        <f t="shared" si="29"/>
        <v>-30000</v>
      </c>
    </row>
    <row r="370" spans="1:11">
      <c r="A370" s="14" t="str">
        <f>Employee_Data!A370</f>
        <v>EMP0369</v>
      </c>
      <c r="B370" s="15" t="str">
        <f>Employee_Data!B370</f>
        <v>Human Resources</v>
      </c>
      <c r="C370" s="16">
        <f>ROUND(Employee_Data!E370*1.05,-3)</f>
        <v>667000</v>
      </c>
      <c r="D370" s="16">
        <f>Employee_Data!E370</f>
        <v>635000</v>
      </c>
      <c r="E370" s="16">
        <f t="shared" si="25"/>
        <v>-32000</v>
      </c>
      <c r="F370" s="16">
        <f>ROUND(Employee_Data!G370*0.95,-3)</f>
        <v>27000</v>
      </c>
      <c r="G370" s="16">
        <f>Employee_Data!G370</f>
        <v>28000</v>
      </c>
      <c r="H370" s="16">
        <f t="shared" si="26"/>
        <v>1000</v>
      </c>
      <c r="I370" s="17">
        <f t="shared" si="27"/>
        <v>694000</v>
      </c>
      <c r="J370" s="17">
        <f t="shared" si="28"/>
        <v>663000</v>
      </c>
      <c r="K370" s="17">
        <f t="shared" si="29"/>
        <v>-31000</v>
      </c>
    </row>
    <row r="371" spans="1:11">
      <c r="A371" s="14" t="str">
        <f>Employee_Data!A371</f>
        <v>EMP0370</v>
      </c>
      <c r="B371" s="15" t="str">
        <f>Employee_Data!B371</f>
        <v>Human Resources</v>
      </c>
      <c r="C371" s="16">
        <f>ROUND(Employee_Data!E371*1.05,-3)</f>
        <v>728000</v>
      </c>
      <c r="D371" s="16">
        <f>Employee_Data!E371</f>
        <v>693000</v>
      </c>
      <c r="E371" s="16">
        <f t="shared" si="25"/>
        <v>-35000</v>
      </c>
      <c r="F371" s="16">
        <f>ROUND(Employee_Data!G371*0.95,-3)</f>
        <v>29000</v>
      </c>
      <c r="G371" s="16">
        <f>Employee_Data!G371</f>
        <v>30000</v>
      </c>
      <c r="H371" s="16">
        <f t="shared" si="26"/>
        <v>1000</v>
      </c>
      <c r="I371" s="17">
        <f t="shared" si="27"/>
        <v>757000</v>
      </c>
      <c r="J371" s="17">
        <f t="shared" si="28"/>
        <v>723000</v>
      </c>
      <c r="K371" s="17">
        <f t="shared" si="29"/>
        <v>-34000</v>
      </c>
    </row>
    <row r="372" spans="1:11">
      <c r="A372" s="14" t="str">
        <f>Employee_Data!A372</f>
        <v>EMP0371</v>
      </c>
      <c r="B372" s="15" t="str">
        <f>Employee_Data!B372</f>
        <v>Human Resources</v>
      </c>
      <c r="C372" s="16">
        <f>ROUND(Employee_Data!E372*1.05,-3)</f>
        <v>627000</v>
      </c>
      <c r="D372" s="16">
        <f>Employee_Data!E372</f>
        <v>597000</v>
      </c>
      <c r="E372" s="16">
        <f t="shared" si="25"/>
        <v>-30000</v>
      </c>
      <c r="F372" s="16">
        <f>ROUND(Employee_Data!G372*0.95,-3)</f>
        <v>19000</v>
      </c>
      <c r="G372" s="16">
        <f>Employee_Data!G372</f>
        <v>20000</v>
      </c>
      <c r="H372" s="16">
        <f t="shared" si="26"/>
        <v>1000</v>
      </c>
      <c r="I372" s="17">
        <f t="shared" si="27"/>
        <v>646000</v>
      </c>
      <c r="J372" s="17">
        <f t="shared" si="28"/>
        <v>617000</v>
      </c>
      <c r="K372" s="17">
        <f t="shared" si="29"/>
        <v>-29000</v>
      </c>
    </row>
    <row r="373" spans="1:11">
      <c r="A373" s="14" t="str">
        <f>Employee_Data!A373</f>
        <v>EMP0372</v>
      </c>
      <c r="B373" s="15" t="str">
        <f>Employee_Data!B373</f>
        <v>Human Resources</v>
      </c>
      <c r="C373" s="16">
        <f>ROUND(Employee_Data!E373*1.05,-3)</f>
        <v>755000</v>
      </c>
      <c r="D373" s="16">
        <f>Employee_Data!E373</f>
        <v>719000</v>
      </c>
      <c r="E373" s="16">
        <f t="shared" si="25"/>
        <v>-36000</v>
      </c>
      <c r="F373" s="16">
        <f>ROUND(Employee_Data!G373*0.95,-3)</f>
        <v>29000</v>
      </c>
      <c r="G373" s="16">
        <f>Employee_Data!G373</f>
        <v>30000</v>
      </c>
      <c r="H373" s="16">
        <f t="shared" si="26"/>
        <v>1000</v>
      </c>
      <c r="I373" s="17">
        <f t="shared" si="27"/>
        <v>784000</v>
      </c>
      <c r="J373" s="17">
        <f t="shared" si="28"/>
        <v>749000</v>
      </c>
      <c r="K373" s="17">
        <f t="shared" si="29"/>
        <v>-35000</v>
      </c>
    </row>
    <row r="374" spans="1:11">
      <c r="A374" s="14" t="str">
        <f>Employee_Data!A374</f>
        <v>EMP0373</v>
      </c>
      <c r="B374" s="15" t="str">
        <f>Employee_Data!B374</f>
        <v>Human Resources</v>
      </c>
      <c r="C374" s="16">
        <f>ROUND(Employee_Data!E374*1.05,-3)</f>
        <v>699000</v>
      </c>
      <c r="D374" s="16">
        <f>Employee_Data!E374</f>
        <v>666000</v>
      </c>
      <c r="E374" s="16">
        <f t="shared" si="25"/>
        <v>-33000</v>
      </c>
      <c r="F374" s="16">
        <f>ROUND(Employee_Data!G374*0.95,-3)</f>
        <v>14000</v>
      </c>
      <c r="G374" s="16">
        <f>Employee_Data!G374</f>
        <v>15000</v>
      </c>
      <c r="H374" s="16">
        <f t="shared" si="26"/>
        <v>1000</v>
      </c>
      <c r="I374" s="17">
        <f t="shared" si="27"/>
        <v>713000</v>
      </c>
      <c r="J374" s="17">
        <f t="shared" si="28"/>
        <v>681000</v>
      </c>
      <c r="K374" s="17">
        <f t="shared" si="29"/>
        <v>-32000</v>
      </c>
    </row>
    <row r="375" spans="1:11">
      <c r="A375" s="14" t="str">
        <f>Employee_Data!A375</f>
        <v>EMP0374</v>
      </c>
      <c r="B375" s="15" t="str">
        <f>Employee_Data!B375</f>
        <v>Human Resources</v>
      </c>
      <c r="C375" s="16">
        <f>ROUND(Employee_Data!E375*1.05,-3)</f>
        <v>550000</v>
      </c>
      <c r="D375" s="16">
        <f>Employee_Data!E375</f>
        <v>524000</v>
      </c>
      <c r="E375" s="16">
        <f t="shared" si="25"/>
        <v>-26000</v>
      </c>
      <c r="F375" s="16">
        <f>ROUND(Employee_Data!G375*0.95,-3)</f>
        <v>33000</v>
      </c>
      <c r="G375" s="16">
        <f>Employee_Data!G375</f>
        <v>35000</v>
      </c>
      <c r="H375" s="16">
        <f t="shared" si="26"/>
        <v>2000</v>
      </c>
      <c r="I375" s="17">
        <f t="shared" si="27"/>
        <v>583000</v>
      </c>
      <c r="J375" s="17">
        <f t="shared" si="28"/>
        <v>559000</v>
      </c>
      <c r="K375" s="17">
        <f t="shared" si="29"/>
        <v>-24000</v>
      </c>
    </row>
    <row r="376" spans="1:11">
      <c r="A376" s="14" t="str">
        <f>Employee_Data!A376</f>
        <v>EMP0375</v>
      </c>
      <c r="B376" s="15" t="str">
        <f>Employee_Data!B376</f>
        <v>Human Resources</v>
      </c>
      <c r="C376" s="16">
        <f>ROUND(Employee_Data!E376*1.05,-3)</f>
        <v>690000</v>
      </c>
      <c r="D376" s="16">
        <f>Employee_Data!E376</f>
        <v>657000</v>
      </c>
      <c r="E376" s="16">
        <f t="shared" si="25"/>
        <v>-33000</v>
      </c>
      <c r="F376" s="16">
        <f>ROUND(Employee_Data!G376*0.95,-3)</f>
        <v>24000</v>
      </c>
      <c r="G376" s="16">
        <f>Employee_Data!G376</f>
        <v>25000</v>
      </c>
      <c r="H376" s="16">
        <f t="shared" si="26"/>
        <v>1000</v>
      </c>
      <c r="I376" s="17">
        <f t="shared" si="27"/>
        <v>714000</v>
      </c>
      <c r="J376" s="17">
        <f t="shared" si="28"/>
        <v>682000</v>
      </c>
      <c r="K376" s="17">
        <f t="shared" si="29"/>
        <v>-32000</v>
      </c>
    </row>
    <row r="377" spans="1:11">
      <c r="A377" s="14" t="str">
        <f>Employee_Data!A377</f>
        <v>EMP0376</v>
      </c>
      <c r="B377" s="15" t="str">
        <f>Employee_Data!B377</f>
        <v>Operations</v>
      </c>
      <c r="C377" s="16">
        <f>ROUND(Employee_Data!E377*1.05,-3)</f>
        <v>814000</v>
      </c>
      <c r="D377" s="16">
        <f>Employee_Data!E377</f>
        <v>775000</v>
      </c>
      <c r="E377" s="16">
        <f t="shared" si="25"/>
        <v>-39000</v>
      </c>
      <c r="F377" s="16">
        <f>ROUND(Employee_Data!G377*0.95,-3)</f>
        <v>21000</v>
      </c>
      <c r="G377" s="16">
        <f>Employee_Data!G377</f>
        <v>22000</v>
      </c>
      <c r="H377" s="16">
        <f t="shared" si="26"/>
        <v>1000</v>
      </c>
      <c r="I377" s="17">
        <f t="shared" si="27"/>
        <v>835000</v>
      </c>
      <c r="J377" s="17">
        <f t="shared" si="28"/>
        <v>797000</v>
      </c>
      <c r="K377" s="17">
        <f t="shared" si="29"/>
        <v>-38000</v>
      </c>
    </row>
    <row r="378" spans="1:11">
      <c r="A378" s="14" t="str">
        <f>Employee_Data!A378</f>
        <v>EMP0377</v>
      </c>
      <c r="B378" s="15" t="str">
        <f>Employee_Data!B378</f>
        <v>Operations</v>
      </c>
      <c r="C378" s="16">
        <f>ROUND(Employee_Data!E378*1.05,-3)</f>
        <v>588000</v>
      </c>
      <c r="D378" s="16">
        <f>Employee_Data!E378</f>
        <v>560000</v>
      </c>
      <c r="E378" s="16">
        <f t="shared" si="25"/>
        <v>-28000</v>
      </c>
      <c r="F378" s="16">
        <f>ROUND(Employee_Data!G378*0.95,-3)</f>
        <v>27000</v>
      </c>
      <c r="G378" s="16">
        <f>Employee_Data!G378</f>
        <v>28000</v>
      </c>
      <c r="H378" s="16">
        <f t="shared" si="26"/>
        <v>1000</v>
      </c>
      <c r="I378" s="17">
        <f t="shared" si="27"/>
        <v>615000</v>
      </c>
      <c r="J378" s="17">
        <f t="shared" si="28"/>
        <v>588000</v>
      </c>
      <c r="K378" s="17">
        <f t="shared" si="29"/>
        <v>-27000</v>
      </c>
    </row>
    <row r="379" spans="1:11">
      <c r="A379" s="14" t="str">
        <f>Employee_Data!A379</f>
        <v>EMP0378</v>
      </c>
      <c r="B379" s="15" t="str">
        <f>Employee_Data!B379</f>
        <v>Operations</v>
      </c>
      <c r="C379" s="16">
        <f>ROUND(Employee_Data!E379*1.05,-3)</f>
        <v>843000</v>
      </c>
      <c r="D379" s="16">
        <f>Employee_Data!E379</f>
        <v>803000</v>
      </c>
      <c r="E379" s="16">
        <f t="shared" si="25"/>
        <v>-40000</v>
      </c>
      <c r="F379" s="16">
        <f>ROUND(Employee_Data!G379*0.95,-3)</f>
        <v>21000</v>
      </c>
      <c r="G379" s="16">
        <f>Employee_Data!G379</f>
        <v>22000</v>
      </c>
      <c r="H379" s="16">
        <f t="shared" si="26"/>
        <v>1000</v>
      </c>
      <c r="I379" s="17">
        <f t="shared" si="27"/>
        <v>864000</v>
      </c>
      <c r="J379" s="17">
        <f t="shared" si="28"/>
        <v>825000</v>
      </c>
      <c r="K379" s="17">
        <f t="shared" si="29"/>
        <v>-39000</v>
      </c>
    </row>
    <row r="380" spans="1:11">
      <c r="A380" s="14" t="str">
        <f>Employee_Data!A380</f>
        <v>EMP0379</v>
      </c>
      <c r="B380" s="15" t="str">
        <f>Employee_Data!B380</f>
        <v>Operations</v>
      </c>
      <c r="C380" s="16">
        <f>ROUND(Employee_Data!E380*1.05,-3)</f>
        <v>758000</v>
      </c>
      <c r="D380" s="16">
        <f>Employee_Data!E380</f>
        <v>722000</v>
      </c>
      <c r="E380" s="16">
        <f t="shared" si="25"/>
        <v>-36000</v>
      </c>
      <c r="F380" s="16">
        <f>ROUND(Employee_Data!G380*0.95,-3)</f>
        <v>33000</v>
      </c>
      <c r="G380" s="16">
        <f>Employee_Data!G380</f>
        <v>35000</v>
      </c>
      <c r="H380" s="16">
        <f t="shared" si="26"/>
        <v>2000</v>
      </c>
      <c r="I380" s="17">
        <f t="shared" si="27"/>
        <v>791000</v>
      </c>
      <c r="J380" s="17">
        <f t="shared" si="28"/>
        <v>757000</v>
      </c>
      <c r="K380" s="17">
        <f t="shared" si="29"/>
        <v>-34000</v>
      </c>
    </row>
    <row r="381" spans="1:11">
      <c r="A381" s="14" t="str">
        <f>Employee_Data!A381</f>
        <v>EMP0380</v>
      </c>
      <c r="B381" s="15" t="str">
        <f>Employee_Data!B381</f>
        <v>Operations</v>
      </c>
      <c r="C381" s="16">
        <f>ROUND(Employee_Data!E381*1.05,-3)</f>
        <v>694000</v>
      </c>
      <c r="D381" s="16">
        <f>Employee_Data!E381</f>
        <v>661000</v>
      </c>
      <c r="E381" s="16">
        <f t="shared" si="25"/>
        <v>-33000</v>
      </c>
      <c r="F381" s="16">
        <f>ROUND(Employee_Data!G381*0.95,-3)</f>
        <v>21000</v>
      </c>
      <c r="G381" s="16">
        <f>Employee_Data!G381</f>
        <v>22000</v>
      </c>
      <c r="H381" s="16">
        <f t="shared" si="26"/>
        <v>1000</v>
      </c>
      <c r="I381" s="17">
        <f t="shared" si="27"/>
        <v>715000</v>
      </c>
      <c r="J381" s="17">
        <f t="shared" si="28"/>
        <v>683000</v>
      </c>
      <c r="K381" s="17">
        <f t="shared" si="29"/>
        <v>-32000</v>
      </c>
    </row>
    <row r="382" spans="1:11">
      <c r="A382" s="14" t="str">
        <f>Employee_Data!A382</f>
        <v>EMP0381</v>
      </c>
      <c r="B382" s="15" t="str">
        <f>Employee_Data!B382</f>
        <v>Operations</v>
      </c>
      <c r="C382" s="16">
        <f>ROUND(Employee_Data!E382*1.05,-3)</f>
        <v>612000</v>
      </c>
      <c r="D382" s="16">
        <f>Employee_Data!E382</f>
        <v>583000</v>
      </c>
      <c r="E382" s="16">
        <f t="shared" si="25"/>
        <v>-29000</v>
      </c>
      <c r="F382" s="16">
        <f>ROUND(Employee_Data!G382*0.95,-3)</f>
        <v>17000</v>
      </c>
      <c r="G382" s="16">
        <f>Employee_Data!G382</f>
        <v>18000</v>
      </c>
      <c r="H382" s="16">
        <f t="shared" si="26"/>
        <v>1000</v>
      </c>
      <c r="I382" s="17">
        <f t="shared" si="27"/>
        <v>629000</v>
      </c>
      <c r="J382" s="17">
        <f t="shared" si="28"/>
        <v>601000</v>
      </c>
      <c r="K382" s="17">
        <f t="shared" si="29"/>
        <v>-28000</v>
      </c>
    </row>
    <row r="383" spans="1:11">
      <c r="A383" s="14" t="str">
        <f>Employee_Data!A383</f>
        <v>EMP0382</v>
      </c>
      <c r="B383" s="15" t="str">
        <f>Employee_Data!B383</f>
        <v>Operations</v>
      </c>
      <c r="C383" s="16">
        <f>ROUND(Employee_Data!E383*1.05,-3)</f>
        <v>740000</v>
      </c>
      <c r="D383" s="16">
        <f>Employee_Data!E383</f>
        <v>705000</v>
      </c>
      <c r="E383" s="16">
        <f t="shared" si="25"/>
        <v>-35000</v>
      </c>
      <c r="F383" s="16">
        <f>ROUND(Employee_Data!G383*0.95,-3)</f>
        <v>33000</v>
      </c>
      <c r="G383" s="16">
        <f>Employee_Data!G383</f>
        <v>35000</v>
      </c>
      <c r="H383" s="16">
        <f t="shared" si="26"/>
        <v>2000</v>
      </c>
      <c r="I383" s="17">
        <f t="shared" si="27"/>
        <v>773000</v>
      </c>
      <c r="J383" s="17">
        <f t="shared" si="28"/>
        <v>740000</v>
      </c>
      <c r="K383" s="17">
        <f t="shared" si="29"/>
        <v>-33000</v>
      </c>
    </row>
    <row r="384" spans="1:11">
      <c r="A384" s="14" t="str">
        <f>Employee_Data!A384</f>
        <v>EMP0383</v>
      </c>
      <c r="B384" s="15" t="str">
        <f>Employee_Data!B384</f>
        <v>Operations</v>
      </c>
      <c r="C384" s="16">
        <f>ROUND(Employee_Data!E384*1.05,-3)</f>
        <v>851000</v>
      </c>
      <c r="D384" s="16">
        <f>Employee_Data!E384</f>
        <v>810000</v>
      </c>
      <c r="E384" s="16">
        <f t="shared" si="25"/>
        <v>-41000</v>
      </c>
      <c r="F384" s="16">
        <f>ROUND(Employee_Data!G384*0.95,-3)</f>
        <v>14000</v>
      </c>
      <c r="G384" s="16">
        <f>Employee_Data!G384</f>
        <v>15000</v>
      </c>
      <c r="H384" s="16">
        <f t="shared" si="26"/>
        <v>1000</v>
      </c>
      <c r="I384" s="17">
        <f t="shared" si="27"/>
        <v>865000</v>
      </c>
      <c r="J384" s="17">
        <f t="shared" si="28"/>
        <v>825000</v>
      </c>
      <c r="K384" s="17">
        <f t="shared" si="29"/>
        <v>-40000</v>
      </c>
    </row>
    <row r="385" spans="1:11">
      <c r="A385" s="14" t="str">
        <f>Employee_Data!A385</f>
        <v>EMP0384</v>
      </c>
      <c r="B385" s="15" t="str">
        <f>Employee_Data!B385</f>
        <v>Operations</v>
      </c>
      <c r="C385" s="16">
        <f>ROUND(Employee_Data!E385*1.05,-3)</f>
        <v>711000</v>
      </c>
      <c r="D385" s="16">
        <f>Employee_Data!E385</f>
        <v>677000</v>
      </c>
      <c r="E385" s="16">
        <f t="shared" si="25"/>
        <v>-34000</v>
      </c>
      <c r="F385" s="16">
        <f>ROUND(Employee_Data!G385*0.95,-3)</f>
        <v>24000</v>
      </c>
      <c r="G385" s="16">
        <f>Employee_Data!G385</f>
        <v>25000</v>
      </c>
      <c r="H385" s="16">
        <f t="shared" si="26"/>
        <v>1000</v>
      </c>
      <c r="I385" s="17">
        <f t="shared" si="27"/>
        <v>735000</v>
      </c>
      <c r="J385" s="17">
        <f t="shared" si="28"/>
        <v>702000</v>
      </c>
      <c r="K385" s="17">
        <f t="shared" si="29"/>
        <v>-33000</v>
      </c>
    </row>
    <row r="386" spans="1:11">
      <c r="A386" s="14" t="str">
        <f>Employee_Data!A386</f>
        <v>EMP0385</v>
      </c>
      <c r="B386" s="15" t="str">
        <f>Employee_Data!B386</f>
        <v>Operations</v>
      </c>
      <c r="C386" s="16">
        <f>ROUND(Employee_Data!E386*1.05,-3)</f>
        <v>734000</v>
      </c>
      <c r="D386" s="16">
        <f>Employee_Data!E386</f>
        <v>699000</v>
      </c>
      <c r="E386" s="16">
        <f t="shared" si="25"/>
        <v>-35000</v>
      </c>
      <c r="F386" s="16">
        <f>ROUND(Employee_Data!G386*0.95,-3)</f>
        <v>27000</v>
      </c>
      <c r="G386" s="16">
        <f>Employee_Data!G386</f>
        <v>28000</v>
      </c>
      <c r="H386" s="16">
        <f t="shared" si="26"/>
        <v>1000</v>
      </c>
      <c r="I386" s="17">
        <f t="shared" si="27"/>
        <v>761000</v>
      </c>
      <c r="J386" s="17">
        <f t="shared" si="28"/>
        <v>727000</v>
      </c>
      <c r="K386" s="17">
        <f t="shared" si="29"/>
        <v>-34000</v>
      </c>
    </row>
    <row r="387" spans="1:11">
      <c r="A387" s="14" t="str">
        <f>Employee_Data!A387</f>
        <v>EMP0386</v>
      </c>
      <c r="B387" s="15" t="str">
        <f>Employee_Data!B387</f>
        <v>Operations</v>
      </c>
      <c r="C387" s="16">
        <f>ROUND(Employee_Data!E387*1.05,-3)</f>
        <v>768000</v>
      </c>
      <c r="D387" s="16">
        <f>Employee_Data!E387</f>
        <v>731000</v>
      </c>
      <c r="E387" s="16">
        <f t="shared" ref="E387:E450" si="30">D387-C387</f>
        <v>-37000</v>
      </c>
      <c r="F387" s="16">
        <f>ROUND(Employee_Data!G387*0.95,-3)</f>
        <v>33000</v>
      </c>
      <c r="G387" s="16">
        <f>Employee_Data!G387</f>
        <v>35000</v>
      </c>
      <c r="H387" s="16">
        <f t="shared" ref="H387:H450" si="31">G387-F387</f>
        <v>2000</v>
      </c>
      <c r="I387" s="17">
        <f t="shared" ref="I387:I450" si="32">C387+F387</f>
        <v>801000</v>
      </c>
      <c r="J387" s="17">
        <f t="shared" ref="J387:J450" si="33">D387+G387</f>
        <v>766000</v>
      </c>
      <c r="K387" s="17">
        <f t="shared" ref="K387:K450" si="34">J387-I387</f>
        <v>-35000</v>
      </c>
    </row>
    <row r="388" spans="1:11">
      <c r="A388" s="14" t="str">
        <f>Employee_Data!A388</f>
        <v>EMP0387</v>
      </c>
      <c r="B388" s="15" t="str">
        <f>Employee_Data!B388</f>
        <v>Operations</v>
      </c>
      <c r="C388" s="16">
        <f>ROUND(Employee_Data!E388*1.05,-3)</f>
        <v>898000</v>
      </c>
      <c r="D388" s="16">
        <f>Employee_Data!E388</f>
        <v>855000</v>
      </c>
      <c r="E388" s="16">
        <f t="shared" si="30"/>
        <v>-43000</v>
      </c>
      <c r="F388" s="16">
        <f>ROUND(Employee_Data!G388*0.95,-3)</f>
        <v>29000</v>
      </c>
      <c r="G388" s="16">
        <f>Employee_Data!G388</f>
        <v>30000</v>
      </c>
      <c r="H388" s="16">
        <f t="shared" si="31"/>
        <v>1000</v>
      </c>
      <c r="I388" s="17">
        <f t="shared" si="32"/>
        <v>927000</v>
      </c>
      <c r="J388" s="17">
        <f t="shared" si="33"/>
        <v>885000</v>
      </c>
      <c r="K388" s="17">
        <f t="shared" si="34"/>
        <v>-42000</v>
      </c>
    </row>
    <row r="389" spans="1:11">
      <c r="A389" s="14" t="str">
        <f>Employee_Data!A389</f>
        <v>EMP0388</v>
      </c>
      <c r="B389" s="15" t="str">
        <f>Employee_Data!B389</f>
        <v>Operations</v>
      </c>
      <c r="C389" s="16">
        <f>ROUND(Employee_Data!E389*1.05,-3)</f>
        <v>797000</v>
      </c>
      <c r="D389" s="16">
        <f>Employee_Data!E389</f>
        <v>759000</v>
      </c>
      <c r="E389" s="16">
        <f t="shared" si="30"/>
        <v>-38000</v>
      </c>
      <c r="F389" s="16">
        <f>ROUND(Employee_Data!G389*0.95,-3)</f>
        <v>29000</v>
      </c>
      <c r="G389" s="16">
        <f>Employee_Data!G389</f>
        <v>30000</v>
      </c>
      <c r="H389" s="16">
        <f t="shared" si="31"/>
        <v>1000</v>
      </c>
      <c r="I389" s="17">
        <f t="shared" si="32"/>
        <v>826000</v>
      </c>
      <c r="J389" s="17">
        <f t="shared" si="33"/>
        <v>789000</v>
      </c>
      <c r="K389" s="17">
        <f t="shared" si="34"/>
        <v>-37000</v>
      </c>
    </row>
    <row r="390" spans="1:11">
      <c r="A390" s="14" t="str">
        <f>Employee_Data!A390</f>
        <v>EMP0389</v>
      </c>
      <c r="B390" s="15" t="str">
        <f>Employee_Data!B390</f>
        <v>Operations</v>
      </c>
      <c r="C390" s="16">
        <f>ROUND(Employee_Data!E390*1.05,-3)</f>
        <v>769000</v>
      </c>
      <c r="D390" s="16">
        <f>Employee_Data!E390</f>
        <v>732000</v>
      </c>
      <c r="E390" s="16">
        <f t="shared" si="30"/>
        <v>-37000</v>
      </c>
      <c r="F390" s="16">
        <f>ROUND(Employee_Data!G390*0.95,-3)</f>
        <v>27000</v>
      </c>
      <c r="G390" s="16">
        <f>Employee_Data!G390</f>
        <v>28000</v>
      </c>
      <c r="H390" s="16">
        <f t="shared" si="31"/>
        <v>1000</v>
      </c>
      <c r="I390" s="17">
        <f t="shared" si="32"/>
        <v>796000</v>
      </c>
      <c r="J390" s="17">
        <f t="shared" si="33"/>
        <v>760000</v>
      </c>
      <c r="K390" s="17">
        <f t="shared" si="34"/>
        <v>-36000</v>
      </c>
    </row>
    <row r="391" spans="1:11">
      <c r="A391" s="14" t="str">
        <f>Employee_Data!A391</f>
        <v>EMP0390</v>
      </c>
      <c r="B391" s="15" t="str">
        <f>Employee_Data!B391</f>
        <v>Operations</v>
      </c>
      <c r="C391" s="16">
        <f>ROUND(Employee_Data!E391*1.05,-3)</f>
        <v>1295000</v>
      </c>
      <c r="D391" s="16">
        <f>Employee_Data!E391</f>
        <v>1233000</v>
      </c>
      <c r="E391" s="16">
        <f t="shared" si="30"/>
        <v>-62000</v>
      </c>
      <c r="F391" s="16">
        <f>ROUND(Employee_Data!G391*0.95,-3)</f>
        <v>21000</v>
      </c>
      <c r="G391" s="16">
        <f>Employee_Data!G391</f>
        <v>22000</v>
      </c>
      <c r="H391" s="16">
        <f t="shared" si="31"/>
        <v>1000</v>
      </c>
      <c r="I391" s="17">
        <f t="shared" si="32"/>
        <v>1316000</v>
      </c>
      <c r="J391" s="17">
        <f t="shared" si="33"/>
        <v>1255000</v>
      </c>
      <c r="K391" s="17">
        <f t="shared" si="34"/>
        <v>-61000</v>
      </c>
    </row>
    <row r="392" spans="1:11">
      <c r="A392" s="14" t="str">
        <f>Employee_Data!A392</f>
        <v>EMP0391</v>
      </c>
      <c r="B392" s="15" t="str">
        <f>Employee_Data!B392</f>
        <v>Operations</v>
      </c>
      <c r="C392" s="16">
        <f>ROUND(Employee_Data!E392*1.05,-3)</f>
        <v>796000</v>
      </c>
      <c r="D392" s="16">
        <f>Employee_Data!E392</f>
        <v>758000</v>
      </c>
      <c r="E392" s="16">
        <f t="shared" si="30"/>
        <v>-38000</v>
      </c>
      <c r="F392" s="16">
        <f>ROUND(Employee_Data!G392*0.95,-3)</f>
        <v>29000</v>
      </c>
      <c r="G392" s="16">
        <f>Employee_Data!G392</f>
        <v>30000</v>
      </c>
      <c r="H392" s="16">
        <f t="shared" si="31"/>
        <v>1000</v>
      </c>
      <c r="I392" s="17">
        <f t="shared" si="32"/>
        <v>825000</v>
      </c>
      <c r="J392" s="17">
        <f t="shared" si="33"/>
        <v>788000</v>
      </c>
      <c r="K392" s="17">
        <f t="shared" si="34"/>
        <v>-37000</v>
      </c>
    </row>
    <row r="393" spans="1:11">
      <c r="A393" s="14" t="str">
        <f>Employee_Data!A393</f>
        <v>EMP0392</v>
      </c>
      <c r="B393" s="15" t="str">
        <f>Employee_Data!B393</f>
        <v>Operations</v>
      </c>
      <c r="C393" s="16">
        <f>ROUND(Employee_Data!E393*1.05,-3)</f>
        <v>681000</v>
      </c>
      <c r="D393" s="16">
        <f>Employee_Data!E393</f>
        <v>649000</v>
      </c>
      <c r="E393" s="16">
        <f t="shared" si="30"/>
        <v>-32000</v>
      </c>
      <c r="F393" s="16">
        <f>ROUND(Employee_Data!G393*0.95,-3)</f>
        <v>24000</v>
      </c>
      <c r="G393" s="16">
        <f>Employee_Data!G393</f>
        <v>25000</v>
      </c>
      <c r="H393" s="16">
        <f t="shared" si="31"/>
        <v>1000</v>
      </c>
      <c r="I393" s="17">
        <f t="shared" si="32"/>
        <v>705000</v>
      </c>
      <c r="J393" s="17">
        <f t="shared" si="33"/>
        <v>674000</v>
      </c>
      <c r="K393" s="17">
        <f t="shared" si="34"/>
        <v>-31000</v>
      </c>
    </row>
    <row r="394" spans="1:11">
      <c r="A394" s="14" t="str">
        <f>Employee_Data!A394</f>
        <v>EMP0393</v>
      </c>
      <c r="B394" s="15" t="str">
        <f>Employee_Data!B394</f>
        <v>Operations</v>
      </c>
      <c r="C394" s="16">
        <f>ROUND(Employee_Data!E394*1.05,-3)</f>
        <v>853000</v>
      </c>
      <c r="D394" s="16">
        <f>Employee_Data!E394</f>
        <v>812000</v>
      </c>
      <c r="E394" s="16">
        <f t="shared" si="30"/>
        <v>-41000</v>
      </c>
      <c r="F394" s="16">
        <f>ROUND(Employee_Data!G394*0.95,-3)</f>
        <v>29000</v>
      </c>
      <c r="G394" s="16">
        <f>Employee_Data!G394</f>
        <v>30000</v>
      </c>
      <c r="H394" s="16">
        <f t="shared" si="31"/>
        <v>1000</v>
      </c>
      <c r="I394" s="17">
        <f t="shared" si="32"/>
        <v>882000</v>
      </c>
      <c r="J394" s="17">
        <f t="shared" si="33"/>
        <v>842000</v>
      </c>
      <c r="K394" s="17">
        <f t="shared" si="34"/>
        <v>-40000</v>
      </c>
    </row>
    <row r="395" spans="1:11">
      <c r="A395" s="14" t="str">
        <f>Employee_Data!A395</f>
        <v>EMP0394</v>
      </c>
      <c r="B395" s="15" t="str">
        <f>Employee_Data!B395</f>
        <v>Operations</v>
      </c>
      <c r="C395" s="16">
        <f>ROUND(Employee_Data!E395*1.05,-3)</f>
        <v>875000</v>
      </c>
      <c r="D395" s="16">
        <f>Employee_Data!E395</f>
        <v>833000</v>
      </c>
      <c r="E395" s="16">
        <f t="shared" si="30"/>
        <v>-42000</v>
      </c>
      <c r="F395" s="16">
        <f>ROUND(Employee_Data!G395*0.95,-3)</f>
        <v>17000</v>
      </c>
      <c r="G395" s="16">
        <f>Employee_Data!G395</f>
        <v>18000</v>
      </c>
      <c r="H395" s="16">
        <f t="shared" si="31"/>
        <v>1000</v>
      </c>
      <c r="I395" s="17">
        <f t="shared" si="32"/>
        <v>892000</v>
      </c>
      <c r="J395" s="17">
        <f t="shared" si="33"/>
        <v>851000</v>
      </c>
      <c r="K395" s="17">
        <f t="shared" si="34"/>
        <v>-41000</v>
      </c>
    </row>
    <row r="396" spans="1:11">
      <c r="A396" s="14" t="str">
        <f>Employee_Data!A396</f>
        <v>EMP0395</v>
      </c>
      <c r="B396" s="15" t="str">
        <f>Employee_Data!B396</f>
        <v>Operations</v>
      </c>
      <c r="C396" s="16">
        <f>ROUND(Employee_Data!E396*1.05,-3)</f>
        <v>650000</v>
      </c>
      <c r="D396" s="16">
        <f>Employee_Data!E396</f>
        <v>619000</v>
      </c>
      <c r="E396" s="16">
        <f t="shared" si="30"/>
        <v>-31000</v>
      </c>
      <c r="F396" s="16">
        <f>ROUND(Employee_Data!G396*0.95,-3)</f>
        <v>14000</v>
      </c>
      <c r="G396" s="16">
        <f>Employee_Data!G396</f>
        <v>15000</v>
      </c>
      <c r="H396" s="16">
        <f t="shared" si="31"/>
        <v>1000</v>
      </c>
      <c r="I396" s="17">
        <f t="shared" si="32"/>
        <v>664000</v>
      </c>
      <c r="J396" s="17">
        <f t="shared" si="33"/>
        <v>634000</v>
      </c>
      <c r="K396" s="17">
        <f t="shared" si="34"/>
        <v>-30000</v>
      </c>
    </row>
    <row r="397" spans="1:11">
      <c r="A397" s="14" t="str">
        <f>Employee_Data!A397</f>
        <v>EMP0396</v>
      </c>
      <c r="B397" s="15" t="str">
        <f>Employee_Data!B397</f>
        <v>Operations</v>
      </c>
      <c r="C397" s="16">
        <f>ROUND(Employee_Data!E397*1.05,-3)</f>
        <v>628000</v>
      </c>
      <c r="D397" s="16">
        <f>Employee_Data!E397</f>
        <v>598000</v>
      </c>
      <c r="E397" s="16">
        <f t="shared" si="30"/>
        <v>-30000</v>
      </c>
      <c r="F397" s="16">
        <f>ROUND(Employee_Data!G397*0.95,-3)</f>
        <v>14000</v>
      </c>
      <c r="G397" s="16">
        <f>Employee_Data!G397</f>
        <v>15000</v>
      </c>
      <c r="H397" s="16">
        <f t="shared" si="31"/>
        <v>1000</v>
      </c>
      <c r="I397" s="17">
        <f t="shared" si="32"/>
        <v>642000</v>
      </c>
      <c r="J397" s="17">
        <f t="shared" si="33"/>
        <v>613000</v>
      </c>
      <c r="K397" s="17">
        <f t="shared" si="34"/>
        <v>-29000</v>
      </c>
    </row>
    <row r="398" spans="1:11">
      <c r="A398" s="14" t="str">
        <f>Employee_Data!A398</f>
        <v>EMP0397</v>
      </c>
      <c r="B398" s="15" t="str">
        <f>Employee_Data!B398</f>
        <v>Operations</v>
      </c>
      <c r="C398" s="16">
        <f>ROUND(Employee_Data!E398*1.05,-3)</f>
        <v>1248000</v>
      </c>
      <c r="D398" s="16">
        <f>Employee_Data!E398</f>
        <v>1189000</v>
      </c>
      <c r="E398" s="16">
        <f t="shared" si="30"/>
        <v>-59000</v>
      </c>
      <c r="F398" s="16">
        <f>ROUND(Employee_Data!G398*0.95,-3)</f>
        <v>27000</v>
      </c>
      <c r="G398" s="16">
        <f>Employee_Data!G398</f>
        <v>28000</v>
      </c>
      <c r="H398" s="16">
        <f t="shared" si="31"/>
        <v>1000</v>
      </c>
      <c r="I398" s="17">
        <f t="shared" si="32"/>
        <v>1275000</v>
      </c>
      <c r="J398" s="17">
        <f t="shared" si="33"/>
        <v>1217000</v>
      </c>
      <c r="K398" s="17">
        <f t="shared" si="34"/>
        <v>-58000</v>
      </c>
    </row>
    <row r="399" spans="1:11">
      <c r="A399" s="14" t="str">
        <f>Employee_Data!A399</f>
        <v>EMP0398</v>
      </c>
      <c r="B399" s="15" t="str">
        <f>Employee_Data!B399</f>
        <v>Operations</v>
      </c>
      <c r="C399" s="16">
        <f>ROUND(Employee_Data!E399*1.05,-3)</f>
        <v>771000</v>
      </c>
      <c r="D399" s="16">
        <f>Employee_Data!E399</f>
        <v>734000</v>
      </c>
      <c r="E399" s="16">
        <f t="shared" si="30"/>
        <v>-37000</v>
      </c>
      <c r="F399" s="16">
        <f>ROUND(Employee_Data!G399*0.95,-3)</f>
        <v>19000</v>
      </c>
      <c r="G399" s="16">
        <f>Employee_Data!G399</f>
        <v>20000</v>
      </c>
      <c r="H399" s="16">
        <f t="shared" si="31"/>
        <v>1000</v>
      </c>
      <c r="I399" s="17">
        <f t="shared" si="32"/>
        <v>790000</v>
      </c>
      <c r="J399" s="17">
        <f t="shared" si="33"/>
        <v>754000</v>
      </c>
      <c r="K399" s="17">
        <f t="shared" si="34"/>
        <v>-36000</v>
      </c>
    </row>
    <row r="400" spans="1:11">
      <c r="A400" s="14" t="str">
        <f>Employee_Data!A400</f>
        <v>EMP0399</v>
      </c>
      <c r="B400" s="15" t="str">
        <f>Employee_Data!B400</f>
        <v>Operations</v>
      </c>
      <c r="C400" s="16">
        <f>ROUND(Employee_Data!E400*1.05,-3)</f>
        <v>833000</v>
      </c>
      <c r="D400" s="16">
        <f>Employee_Data!E400</f>
        <v>793000</v>
      </c>
      <c r="E400" s="16">
        <f t="shared" si="30"/>
        <v>-40000</v>
      </c>
      <c r="F400" s="16">
        <f>ROUND(Employee_Data!G400*0.95,-3)</f>
        <v>19000</v>
      </c>
      <c r="G400" s="16">
        <f>Employee_Data!G400</f>
        <v>20000</v>
      </c>
      <c r="H400" s="16">
        <f t="shared" si="31"/>
        <v>1000</v>
      </c>
      <c r="I400" s="17">
        <f t="shared" si="32"/>
        <v>852000</v>
      </c>
      <c r="J400" s="17">
        <f t="shared" si="33"/>
        <v>813000</v>
      </c>
      <c r="K400" s="17">
        <f t="shared" si="34"/>
        <v>-39000</v>
      </c>
    </row>
    <row r="401" spans="1:11">
      <c r="A401" s="14" t="str">
        <f>Employee_Data!A401</f>
        <v>EMP0400</v>
      </c>
      <c r="B401" s="15" t="str">
        <f>Employee_Data!B401</f>
        <v>Operations</v>
      </c>
      <c r="C401" s="16">
        <f>ROUND(Employee_Data!E401*1.05,-3)</f>
        <v>847000</v>
      </c>
      <c r="D401" s="16">
        <f>Employee_Data!E401</f>
        <v>807000</v>
      </c>
      <c r="E401" s="16">
        <f t="shared" si="30"/>
        <v>-40000</v>
      </c>
      <c r="F401" s="16">
        <f>ROUND(Employee_Data!G401*0.95,-3)</f>
        <v>29000</v>
      </c>
      <c r="G401" s="16">
        <f>Employee_Data!G401</f>
        <v>30000</v>
      </c>
      <c r="H401" s="16">
        <f t="shared" si="31"/>
        <v>1000</v>
      </c>
      <c r="I401" s="17">
        <f t="shared" si="32"/>
        <v>876000</v>
      </c>
      <c r="J401" s="17">
        <f t="shared" si="33"/>
        <v>837000</v>
      </c>
      <c r="K401" s="17">
        <f t="shared" si="34"/>
        <v>-39000</v>
      </c>
    </row>
    <row r="402" spans="1:11">
      <c r="A402" s="14" t="str">
        <f>Employee_Data!A402</f>
        <v>EMP0401</v>
      </c>
      <c r="B402" s="15" t="str">
        <f>Employee_Data!B402</f>
        <v>Operations</v>
      </c>
      <c r="C402" s="16">
        <f>ROUND(Employee_Data!E402*1.05,-3)</f>
        <v>625000</v>
      </c>
      <c r="D402" s="16">
        <f>Employee_Data!E402</f>
        <v>595000</v>
      </c>
      <c r="E402" s="16">
        <f t="shared" si="30"/>
        <v>-30000</v>
      </c>
      <c r="F402" s="16">
        <f>ROUND(Employee_Data!G402*0.95,-3)</f>
        <v>29000</v>
      </c>
      <c r="G402" s="16">
        <f>Employee_Data!G402</f>
        <v>30000</v>
      </c>
      <c r="H402" s="16">
        <f t="shared" si="31"/>
        <v>1000</v>
      </c>
      <c r="I402" s="17">
        <f t="shared" si="32"/>
        <v>654000</v>
      </c>
      <c r="J402" s="17">
        <f t="shared" si="33"/>
        <v>625000</v>
      </c>
      <c r="K402" s="17">
        <f t="shared" si="34"/>
        <v>-29000</v>
      </c>
    </row>
    <row r="403" spans="1:11">
      <c r="A403" s="14" t="str">
        <f>Employee_Data!A403</f>
        <v>EMP0402</v>
      </c>
      <c r="B403" s="15" t="str">
        <f>Employee_Data!B403</f>
        <v>Operations</v>
      </c>
      <c r="C403" s="16">
        <f>ROUND(Employee_Data!E403*1.05,-3)</f>
        <v>800000</v>
      </c>
      <c r="D403" s="16">
        <f>Employee_Data!E403</f>
        <v>762000</v>
      </c>
      <c r="E403" s="16">
        <f t="shared" si="30"/>
        <v>-38000</v>
      </c>
      <c r="F403" s="16">
        <f>ROUND(Employee_Data!G403*0.95,-3)</f>
        <v>19000</v>
      </c>
      <c r="G403" s="16">
        <f>Employee_Data!G403</f>
        <v>20000</v>
      </c>
      <c r="H403" s="16">
        <f t="shared" si="31"/>
        <v>1000</v>
      </c>
      <c r="I403" s="17">
        <f t="shared" si="32"/>
        <v>819000</v>
      </c>
      <c r="J403" s="17">
        <f t="shared" si="33"/>
        <v>782000</v>
      </c>
      <c r="K403" s="17">
        <f t="shared" si="34"/>
        <v>-37000</v>
      </c>
    </row>
    <row r="404" spans="1:11">
      <c r="A404" s="14" t="str">
        <f>Employee_Data!A404</f>
        <v>EMP0403</v>
      </c>
      <c r="B404" s="15" t="str">
        <f>Employee_Data!B404</f>
        <v>Operations</v>
      </c>
      <c r="C404" s="16">
        <f>ROUND(Employee_Data!E404*1.05,-3)</f>
        <v>817000</v>
      </c>
      <c r="D404" s="16">
        <f>Employee_Data!E404</f>
        <v>778000</v>
      </c>
      <c r="E404" s="16">
        <f t="shared" si="30"/>
        <v>-39000</v>
      </c>
      <c r="F404" s="16">
        <f>ROUND(Employee_Data!G404*0.95,-3)</f>
        <v>19000</v>
      </c>
      <c r="G404" s="16">
        <f>Employee_Data!G404</f>
        <v>20000</v>
      </c>
      <c r="H404" s="16">
        <f t="shared" si="31"/>
        <v>1000</v>
      </c>
      <c r="I404" s="17">
        <f t="shared" si="32"/>
        <v>836000</v>
      </c>
      <c r="J404" s="17">
        <f t="shared" si="33"/>
        <v>798000</v>
      </c>
      <c r="K404" s="17">
        <f t="shared" si="34"/>
        <v>-38000</v>
      </c>
    </row>
    <row r="405" spans="1:11">
      <c r="A405" s="14" t="str">
        <f>Employee_Data!A405</f>
        <v>EMP0404</v>
      </c>
      <c r="B405" s="15" t="str">
        <f>Employee_Data!B405</f>
        <v>Operations</v>
      </c>
      <c r="C405" s="16">
        <f>ROUND(Employee_Data!E405*1.05,-3)</f>
        <v>613000</v>
      </c>
      <c r="D405" s="16">
        <f>Employee_Data!E405</f>
        <v>584000</v>
      </c>
      <c r="E405" s="16">
        <f t="shared" si="30"/>
        <v>-29000</v>
      </c>
      <c r="F405" s="16">
        <f>ROUND(Employee_Data!G405*0.95,-3)</f>
        <v>33000</v>
      </c>
      <c r="G405" s="16">
        <f>Employee_Data!G405</f>
        <v>35000</v>
      </c>
      <c r="H405" s="16">
        <f t="shared" si="31"/>
        <v>2000</v>
      </c>
      <c r="I405" s="17">
        <f t="shared" si="32"/>
        <v>646000</v>
      </c>
      <c r="J405" s="17">
        <f t="shared" si="33"/>
        <v>619000</v>
      </c>
      <c r="K405" s="17">
        <f t="shared" si="34"/>
        <v>-27000</v>
      </c>
    </row>
    <row r="406" spans="1:11">
      <c r="A406" s="14" t="str">
        <f>Employee_Data!A406</f>
        <v>EMP0405</v>
      </c>
      <c r="B406" s="15" t="str">
        <f>Employee_Data!B406</f>
        <v>Operations</v>
      </c>
      <c r="C406" s="16">
        <f>ROUND(Employee_Data!E406*1.05,-3)</f>
        <v>668000</v>
      </c>
      <c r="D406" s="16">
        <f>Employee_Data!E406</f>
        <v>636000</v>
      </c>
      <c r="E406" s="16">
        <f t="shared" si="30"/>
        <v>-32000</v>
      </c>
      <c r="F406" s="16">
        <f>ROUND(Employee_Data!G406*0.95,-3)</f>
        <v>24000</v>
      </c>
      <c r="G406" s="16">
        <f>Employee_Data!G406</f>
        <v>25000</v>
      </c>
      <c r="H406" s="16">
        <f t="shared" si="31"/>
        <v>1000</v>
      </c>
      <c r="I406" s="17">
        <f t="shared" si="32"/>
        <v>692000</v>
      </c>
      <c r="J406" s="17">
        <f t="shared" si="33"/>
        <v>661000</v>
      </c>
      <c r="K406" s="17">
        <f t="shared" si="34"/>
        <v>-31000</v>
      </c>
    </row>
    <row r="407" spans="1:11">
      <c r="A407" s="14" t="str">
        <f>Employee_Data!A407</f>
        <v>EMP0406</v>
      </c>
      <c r="B407" s="15" t="str">
        <f>Employee_Data!B407</f>
        <v>Operations</v>
      </c>
      <c r="C407" s="16">
        <f>ROUND(Employee_Data!E407*1.05,-3)</f>
        <v>668000</v>
      </c>
      <c r="D407" s="16">
        <f>Employee_Data!E407</f>
        <v>636000</v>
      </c>
      <c r="E407" s="16">
        <f t="shared" si="30"/>
        <v>-32000</v>
      </c>
      <c r="F407" s="16">
        <f>ROUND(Employee_Data!G407*0.95,-3)</f>
        <v>21000</v>
      </c>
      <c r="G407" s="16">
        <f>Employee_Data!G407</f>
        <v>22000</v>
      </c>
      <c r="H407" s="16">
        <f t="shared" si="31"/>
        <v>1000</v>
      </c>
      <c r="I407" s="17">
        <f t="shared" si="32"/>
        <v>689000</v>
      </c>
      <c r="J407" s="17">
        <f t="shared" si="33"/>
        <v>658000</v>
      </c>
      <c r="K407" s="17">
        <f t="shared" si="34"/>
        <v>-31000</v>
      </c>
    </row>
    <row r="408" spans="1:11">
      <c r="A408" s="14" t="str">
        <f>Employee_Data!A408</f>
        <v>EMP0407</v>
      </c>
      <c r="B408" s="15" t="str">
        <f>Employee_Data!B408</f>
        <v>Operations</v>
      </c>
      <c r="C408" s="16">
        <f>ROUND(Employee_Data!E408*1.05,-3)</f>
        <v>777000</v>
      </c>
      <c r="D408" s="16">
        <f>Employee_Data!E408</f>
        <v>740000</v>
      </c>
      <c r="E408" s="16">
        <f t="shared" si="30"/>
        <v>-37000</v>
      </c>
      <c r="F408" s="16">
        <f>ROUND(Employee_Data!G408*0.95,-3)</f>
        <v>14000</v>
      </c>
      <c r="G408" s="16">
        <f>Employee_Data!G408</f>
        <v>15000</v>
      </c>
      <c r="H408" s="16">
        <f t="shared" si="31"/>
        <v>1000</v>
      </c>
      <c r="I408" s="17">
        <f t="shared" si="32"/>
        <v>791000</v>
      </c>
      <c r="J408" s="17">
        <f t="shared" si="33"/>
        <v>755000</v>
      </c>
      <c r="K408" s="17">
        <f t="shared" si="34"/>
        <v>-36000</v>
      </c>
    </row>
    <row r="409" spans="1:11">
      <c r="A409" s="14" t="str">
        <f>Employee_Data!A409</f>
        <v>EMP0408</v>
      </c>
      <c r="B409" s="15" t="str">
        <f>Employee_Data!B409</f>
        <v>Operations</v>
      </c>
      <c r="C409" s="16">
        <f>ROUND(Employee_Data!E409*1.05,-3)</f>
        <v>670000</v>
      </c>
      <c r="D409" s="16">
        <f>Employee_Data!E409</f>
        <v>638000</v>
      </c>
      <c r="E409" s="16">
        <f t="shared" si="30"/>
        <v>-32000</v>
      </c>
      <c r="F409" s="16">
        <f>ROUND(Employee_Data!G409*0.95,-3)</f>
        <v>33000</v>
      </c>
      <c r="G409" s="16">
        <f>Employee_Data!G409</f>
        <v>35000</v>
      </c>
      <c r="H409" s="16">
        <f t="shared" si="31"/>
        <v>2000</v>
      </c>
      <c r="I409" s="17">
        <f t="shared" si="32"/>
        <v>703000</v>
      </c>
      <c r="J409" s="17">
        <f t="shared" si="33"/>
        <v>673000</v>
      </c>
      <c r="K409" s="17">
        <f t="shared" si="34"/>
        <v>-30000</v>
      </c>
    </row>
    <row r="410" spans="1:11">
      <c r="A410" s="14" t="str">
        <f>Employee_Data!A410</f>
        <v>EMP0409</v>
      </c>
      <c r="B410" s="15" t="str">
        <f>Employee_Data!B410</f>
        <v>Operations</v>
      </c>
      <c r="C410" s="16">
        <f>ROUND(Employee_Data!E410*1.05,-3)</f>
        <v>775000</v>
      </c>
      <c r="D410" s="16">
        <f>Employee_Data!E410</f>
        <v>738000</v>
      </c>
      <c r="E410" s="16">
        <f t="shared" si="30"/>
        <v>-37000</v>
      </c>
      <c r="F410" s="16">
        <f>ROUND(Employee_Data!G410*0.95,-3)</f>
        <v>21000</v>
      </c>
      <c r="G410" s="16">
        <f>Employee_Data!G410</f>
        <v>22000</v>
      </c>
      <c r="H410" s="16">
        <f t="shared" si="31"/>
        <v>1000</v>
      </c>
      <c r="I410" s="17">
        <f t="shared" si="32"/>
        <v>796000</v>
      </c>
      <c r="J410" s="17">
        <f t="shared" si="33"/>
        <v>760000</v>
      </c>
      <c r="K410" s="17">
        <f t="shared" si="34"/>
        <v>-36000</v>
      </c>
    </row>
    <row r="411" spans="1:11">
      <c r="A411" s="14" t="str">
        <f>Employee_Data!A411</f>
        <v>EMP0410</v>
      </c>
      <c r="B411" s="15" t="str">
        <f>Employee_Data!B411</f>
        <v>Operations</v>
      </c>
      <c r="C411" s="16">
        <f>ROUND(Employee_Data!E411*1.05,-3)</f>
        <v>702000</v>
      </c>
      <c r="D411" s="16">
        <f>Employee_Data!E411</f>
        <v>669000</v>
      </c>
      <c r="E411" s="16">
        <f t="shared" si="30"/>
        <v>-33000</v>
      </c>
      <c r="F411" s="16">
        <f>ROUND(Employee_Data!G411*0.95,-3)</f>
        <v>27000</v>
      </c>
      <c r="G411" s="16">
        <f>Employee_Data!G411</f>
        <v>28000</v>
      </c>
      <c r="H411" s="16">
        <f t="shared" si="31"/>
        <v>1000</v>
      </c>
      <c r="I411" s="17">
        <f t="shared" si="32"/>
        <v>729000</v>
      </c>
      <c r="J411" s="17">
        <f t="shared" si="33"/>
        <v>697000</v>
      </c>
      <c r="K411" s="17">
        <f t="shared" si="34"/>
        <v>-32000</v>
      </c>
    </row>
    <row r="412" spans="1:11">
      <c r="A412" s="14" t="str">
        <f>Employee_Data!A412</f>
        <v>EMP0411</v>
      </c>
      <c r="B412" s="15" t="str">
        <f>Employee_Data!B412</f>
        <v>Operations</v>
      </c>
      <c r="C412" s="16">
        <f>ROUND(Employee_Data!E412*1.05,-3)</f>
        <v>690000</v>
      </c>
      <c r="D412" s="16">
        <f>Employee_Data!E412</f>
        <v>657000</v>
      </c>
      <c r="E412" s="16">
        <f t="shared" si="30"/>
        <v>-33000</v>
      </c>
      <c r="F412" s="16">
        <f>ROUND(Employee_Data!G412*0.95,-3)</f>
        <v>33000</v>
      </c>
      <c r="G412" s="16">
        <f>Employee_Data!G412</f>
        <v>35000</v>
      </c>
      <c r="H412" s="16">
        <f t="shared" si="31"/>
        <v>2000</v>
      </c>
      <c r="I412" s="17">
        <f t="shared" si="32"/>
        <v>723000</v>
      </c>
      <c r="J412" s="17">
        <f t="shared" si="33"/>
        <v>692000</v>
      </c>
      <c r="K412" s="17">
        <f t="shared" si="34"/>
        <v>-31000</v>
      </c>
    </row>
    <row r="413" spans="1:11">
      <c r="A413" s="14" t="str">
        <f>Employee_Data!A413</f>
        <v>EMP0412</v>
      </c>
      <c r="B413" s="15" t="str">
        <f>Employee_Data!B413</f>
        <v>Operations</v>
      </c>
      <c r="C413" s="16">
        <f>ROUND(Employee_Data!E413*1.05,-3)</f>
        <v>595000</v>
      </c>
      <c r="D413" s="16">
        <f>Employee_Data!E413</f>
        <v>567000</v>
      </c>
      <c r="E413" s="16">
        <f t="shared" si="30"/>
        <v>-28000</v>
      </c>
      <c r="F413" s="16">
        <f>ROUND(Employee_Data!G413*0.95,-3)</f>
        <v>14000</v>
      </c>
      <c r="G413" s="16">
        <f>Employee_Data!G413</f>
        <v>15000</v>
      </c>
      <c r="H413" s="16">
        <f t="shared" si="31"/>
        <v>1000</v>
      </c>
      <c r="I413" s="17">
        <f t="shared" si="32"/>
        <v>609000</v>
      </c>
      <c r="J413" s="17">
        <f t="shared" si="33"/>
        <v>582000</v>
      </c>
      <c r="K413" s="17">
        <f t="shared" si="34"/>
        <v>-27000</v>
      </c>
    </row>
    <row r="414" spans="1:11">
      <c r="A414" s="14" t="str">
        <f>Employee_Data!A414</f>
        <v>EMP0413</v>
      </c>
      <c r="B414" s="15" t="str">
        <f>Employee_Data!B414</f>
        <v>Operations</v>
      </c>
      <c r="C414" s="16">
        <f>ROUND(Employee_Data!E414*1.05,-3)</f>
        <v>587000</v>
      </c>
      <c r="D414" s="16">
        <f>Employee_Data!E414</f>
        <v>559000</v>
      </c>
      <c r="E414" s="16">
        <f t="shared" si="30"/>
        <v>-28000</v>
      </c>
      <c r="F414" s="16">
        <f>ROUND(Employee_Data!G414*0.95,-3)</f>
        <v>29000</v>
      </c>
      <c r="G414" s="16">
        <f>Employee_Data!G414</f>
        <v>30000</v>
      </c>
      <c r="H414" s="16">
        <f t="shared" si="31"/>
        <v>1000</v>
      </c>
      <c r="I414" s="17">
        <f t="shared" si="32"/>
        <v>616000</v>
      </c>
      <c r="J414" s="17">
        <f t="shared" si="33"/>
        <v>589000</v>
      </c>
      <c r="K414" s="17">
        <f t="shared" si="34"/>
        <v>-27000</v>
      </c>
    </row>
    <row r="415" spans="1:11">
      <c r="A415" s="14" t="str">
        <f>Employee_Data!A415</f>
        <v>EMP0414</v>
      </c>
      <c r="B415" s="15" t="str">
        <f>Employee_Data!B415</f>
        <v>Operations</v>
      </c>
      <c r="C415" s="16">
        <f>ROUND(Employee_Data!E415*1.05,-3)</f>
        <v>599000</v>
      </c>
      <c r="D415" s="16">
        <f>Employee_Data!E415</f>
        <v>570000</v>
      </c>
      <c r="E415" s="16">
        <f t="shared" si="30"/>
        <v>-29000</v>
      </c>
      <c r="F415" s="16">
        <f>ROUND(Employee_Data!G415*0.95,-3)</f>
        <v>21000</v>
      </c>
      <c r="G415" s="16">
        <f>Employee_Data!G415</f>
        <v>22000</v>
      </c>
      <c r="H415" s="16">
        <f t="shared" si="31"/>
        <v>1000</v>
      </c>
      <c r="I415" s="17">
        <f t="shared" si="32"/>
        <v>620000</v>
      </c>
      <c r="J415" s="17">
        <f t="shared" si="33"/>
        <v>592000</v>
      </c>
      <c r="K415" s="17">
        <f t="shared" si="34"/>
        <v>-28000</v>
      </c>
    </row>
    <row r="416" spans="1:11">
      <c r="A416" s="14" t="str">
        <f>Employee_Data!A416</f>
        <v>EMP0415</v>
      </c>
      <c r="B416" s="15" t="str">
        <f>Employee_Data!B416</f>
        <v>Operations</v>
      </c>
      <c r="C416" s="16">
        <f>ROUND(Employee_Data!E416*1.05,-3)</f>
        <v>772000</v>
      </c>
      <c r="D416" s="16">
        <f>Employee_Data!E416</f>
        <v>735000</v>
      </c>
      <c r="E416" s="16">
        <f t="shared" si="30"/>
        <v>-37000</v>
      </c>
      <c r="F416" s="16">
        <f>ROUND(Employee_Data!G416*0.95,-3)</f>
        <v>33000</v>
      </c>
      <c r="G416" s="16">
        <f>Employee_Data!G416</f>
        <v>35000</v>
      </c>
      <c r="H416" s="16">
        <f t="shared" si="31"/>
        <v>2000</v>
      </c>
      <c r="I416" s="17">
        <f t="shared" si="32"/>
        <v>805000</v>
      </c>
      <c r="J416" s="17">
        <f t="shared" si="33"/>
        <v>770000</v>
      </c>
      <c r="K416" s="17">
        <f t="shared" si="34"/>
        <v>-35000</v>
      </c>
    </row>
    <row r="417" spans="1:11">
      <c r="A417" s="14" t="str">
        <f>Employee_Data!A417</f>
        <v>EMP0416</v>
      </c>
      <c r="B417" s="15" t="str">
        <f>Employee_Data!B417</f>
        <v>Operations</v>
      </c>
      <c r="C417" s="16">
        <f>ROUND(Employee_Data!E417*1.05,-3)</f>
        <v>741000</v>
      </c>
      <c r="D417" s="16">
        <f>Employee_Data!E417</f>
        <v>706000</v>
      </c>
      <c r="E417" s="16">
        <f t="shared" si="30"/>
        <v>-35000</v>
      </c>
      <c r="F417" s="16">
        <f>ROUND(Employee_Data!G417*0.95,-3)</f>
        <v>27000</v>
      </c>
      <c r="G417" s="16">
        <f>Employee_Data!G417</f>
        <v>28000</v>
      </c>
      <c r="H417" s="16">
        <f t="shared" si="31"/>
        <v>1000</v>
      </c>
      <c r="I417" s="17">
        <f t="shared" si="32"/>
        <v>768000</v>
      </c>
      <c r="J417" s="17">
        <f t="shared" si="33"/>
        <v>734000</v>
      </c>
      <c r="K417" s="17">
        <f t="shared" si="34"/>
        <v>-34000</v>
      </c>
    </row>
    <row r="418" spans="1:11">
      <c r="A418" s="14" t="str">
        <f>Employee_Data!A418</f>
        <v>EMP0417</v>
      </c>
      <c r="B418" s="15" t="str">
        <f>Employee_Data!B418</f>
        <v>Operations</v>
      </c>
      <c r="C418" s="16">
        <f>ROUND(Employee_Data!E418*1.05,-3)</f>
        <v>740000</v>
      </c>
      <c r="D418" s="16">
        <f>Employee_Data!E418</f>
        <v>705000</v>
      </c>
      <c r="E418" s="16">
        <f t="shared" si="30"/>
        <v>-35000</v>
      </c>
      <c r="F418" s="16">
        <f>ROUND(Employee_Data!G418*0.95,-3)</f>
        <v>14000</v>
      </c>
      <c r="G418" s="16">
        <f>Employee_Data!G418</f>
        <v>15000</v>
      </c>
      <c r="H418" s="16">
        <f t="shared" si="31"/>
        <v>1000</v>
      </c>
      <c r="I418" s="17">
        <f t="shared" si="32"/>
        <v>754000</v>
      </c>
      <c r="J418" s="17">
        <f t="shared" si="33"/>
        <v>720000</v>
      </c>
      <c r="K418" s="17">
        <f t="shared" si="34"/>
        <v>-34000</v>
      </c>
    </row>
    <row r="419" spans="1:11">
      <c r="A419" s="14" t="str">
        <f>Employee_Data!A419</f>
        <v>EMP0418</v>
      </c>
      <c r="B419" s="15" t="str">
        <f>Employee_Data!B419</f>
        <v>Operations</v>
      </c>
      <c r="C419" s="16">
        <f>ROUND(Employee_Data!E419*1.05,-3)</f>
        <v>654000</v>
      </c>
      <c r="D419" s="16">
        <f>Employee_Data!E419</f>
        <v>623000</v>
      </c>
      <c r="E419" s="16">
        <f t="shared" si="30"/>
        <v>-31000</v>
      </c>
      <c r="F419" s="16">
        <f>ROUND(Employee_Data!G419*0.95,-3)</f>
        <v>14000</v>
      </c>
      <c r="G419" s="16">
        <f>Employee_Data!G419</f>
        <v>15000</v>
      </c>
      <c r="H419" s="16">
        <f t="shared" si="31"/>
        <v>1000</v>
      </c>
      <c r="I419" s="17">
        <f t="shared" si="32"/>
        <v>668000</v>
      </c>
      <c r="J419" s="17">
        <f t="shared" si="33"/>
        <v>638000</v>
      </c>
      <c r="K419" s="17">
        <f t="shared" si="34"/>
        <v>-30000</v>
      </c>
    </row>
    <row r="420" spans="1:11">
      <c r="A420" s="14" t="str">
        <f>Employee_Data!A420</f>
        <v>EMP0419</v>
      </c>
      <c r="B420" s="15" t="str">
        <f>Employee_Data!B420</f>
        <v>Operations</v>
      </c>
      <c r="C420" s="16">
        <f>ROUND(Employee_Data!E420*1.05,-3)</f>
        <v>911000</v>
      </c>
      <c r="D420" s="16">
        <f>Employee_Data!E420</f>
        <v>868000</v>
      </c>
      <c r="E420" s="16">
        <f t="shared" si="30"/>
        <v>-43000</v>
      </c>
      <c r="F420" s="16">
        <f>ROUND(Employee_Data!G420*0.95,-3)</f>
        <v>19000</v>
      </c>
      <c r="G420" s="16">
        <f>Employee_Data!G420</f>
        <v>20000</v>
      </c>
      <c r="H420" s="16">
        <f t="shared" si="31"/>
        <v>1000</v>
      </c>
      <c r="I420" s="17">
        <f t="shared" si="32"/>
        <v>930000</v>
      </c>
      <c r="J420" s="17">
        <f t="shared" si="33"/>
        <v>888000</v>
      </c>
      <c r="K420" s="17">
        <f t="shared" si="34"/>
        <v>-42000</v>
      </c>
    </row>
    <row r="421" spans="1:11">
      <c r="A421" s="14" t="str">
        <f>Employee_Data!A421</f>
        <v>EMP0420</v>
      </c>
      <c r="B421" s="15" t="str">
        <f>Employee_Data!B421</f>
        <v>Operations</v>
      </c>
      <c r="C421" s="16">
        <f>ROUND(Employee_Data!E421*1.05,-3)</f>
        <v>825000</v>
      </c>
      <c r="D421" s="16">
        <f>Employee_Data!E421</f>
        <v>786000</v>
      </c>
      <c r="E421" s="16">
        <f t="shared" si="30"/>
        <v>-39000</v>
      </c>
      <c r="F421" s="16">
        <f>ROUND(Employee_Data!G421*0.95,-3)</f>
        <v>33000</v>
      </c>
      <c r="G421" s="16">
        <f>Employee_Data!G421</f>
        <v>35000</v>
      </c>
      <c r="H421" s="16">
        <f t="shared" si="31"/>
        <v>2000</v>
      </c>
      <c r="I421" s="17">
        <f t="shared" si="32"/>
        <v>858000</v>
      </c>
      <c r="J421" s="17">
        <f t="shared" si="33"/>
        <v>821000</v>
      </c>
      <c r="K421" s="17">
        <f t="shared" si="34"/>
        <v>-37000</v>
      </c>
    </row>
    <row r="422" spans="1:11">
      <c r="A422" s="14" t="str">
        <f>Employee_Data!A422</f>
        <v>EMP0421</v>
      </c>
      <c r="B422" s="15" t="str">
        <f>Employee_Data!B422</f>
        <v>Operations</v>
      </c>
      <c r="C422" s="16">
        <f>ROUND(Employee_Data!E422*1.05,-3)</f>
        <v>641000</v>
      </c>
      <c r="D422" s="16">
        <f>Employee_Data!E422</f>
        <v>610000</v>
      </c>
      <c r="E422" s="16">
        <f t="shared" si="30"/>
        <v>-31000</v>
      </c>
      <c r="F422" s="16">
        <f>ROUND(Employee_Data!G422*0.95,-3)</f>
        <v>14000</v>
      </c>
      <c r="G422" s="16">
        <f>Employee_Data!G422</f>
        <v>15000</v>
      </c>
      <c r="H422" s="16">
        <f t="shared" si="31"/>
        <v>1000</v>
      </c>
      <c r="I422" s="17">
        <f t="shared" si="32"/>
        <v>655000</v>
      </c>
      <c r="J422" s="17">
        <f t="shared" si="33"/>
        <v>625000</v>
      </c>
      <c r="K422" s="17">
        <f t="shared" si="34"/>
        <v>-30000</v>
      </c>
    </row>
    <row r="423" spans="1:11">
      <c r="A423" s="14" t="str">
        <f>Employee_Data!A423</f>
        <v>EMP0422</v>
      </c>
      <c r="B423" s="15" t="str">
        <f>Employee_Data!B423</f>
        <v>Operations</v>
      </c>
      <c r="C423" s="16">
        <f>ROUND(Employee_Data!E423*1.05,-3)</f>
        <v>702000</v>
      </c>
      <c r="D423" s="16">
        <f>Employee_Data!E423</f>
        <v>669000</v>
      </c>
      <c r="E423" s="16">
        <f t="shared" si="30"/>
        <v>-33000</v>
      </c>
      <c r="F423" s="16">
        <f>ROUND(Employee_Data!G423*0.95,-3)</f>
        <v>29000</v>
      </c>
      <c r="G423" s="16">
        <f>Employee_Data!G423</f>
        <v>30000</v>
      </c>
      <c r="H423" s="16">
        <f t="shared" si="31"/>
        <v>1000</v>
      </c>
      <c r="I423" s="17">
        <f t="shared" si="32"/>
        <v>731000</v>
      </c>
      <c r="J423" s="17">
        <f t="shared" si="33"/>
        <v>699000</v>
      </c>
      <c r="K423" s="17">
        <f t="shared" si="34"/>
        <v>-32000</v>
      </c>
    </row>
    <row r="424" spans="1:11">
      <c r="A424" s="14" t="str">
        <f>Employee_Data!A424</f>
        <v>EMP0423</v>
      </c>
      <c r="B424" s="15" t="str">
        <f>Employee_Data!B424</f>
        <v>Operations</v>
      </c>
      <c r="C424" s="16">
        <f>ROUND(Employee_Data!E424*1.05,-3)</f>
        <v>737000</v>
      </c>
      <c r="D424" s="16">
        <f>Employee_Data!E424</f>
        <v>702000</v>
      </c>
      <c r="E424" s="16">
        <f t="shared" si="30"/>
        <v>-35000</v>
      </c>
      <c r="F424" s="16">
        <f>ROUND(Employee_Data!G424*0.95,-3)</f>
        <v>19000</v>
      </c>
      <c r="G424" s="16">
        <f>Employee_Data!G424</f>
        <v>20000</v>
      </c>
      <c r="H424" s="16">
        <f t="shared" si="31"/>
        <v>1000</v>
      </c>
      <c r="I424" s="17">
        <f t="shared" si="32"/>
        <v>756000</v>
      </c>
      <c r="J424" s="17">
        <f t="shared" si="33"/>
        <v>722000</v>
      </c>
      <c r="K424" s="17">
        <f t="shared" si="34"/>
        <v>-34000</v>
      </c>
    </row>
    <row r="425" spans="1:11">
      <c r="A425" s="14" t="str">
        <f>Employee_Data!A425</f>
        <v>EMP0424</v>
      </c>
      <c r="B425" s="15" t="str">
        <f>Employee_Data!B425</f>
        <v>Operations</v>
      </c>
      <c r="C425" s="16">
        <f>ROUND(Employee_Data!E425*1.05,-3)</f>
        <v>702000</v>
      </c>
      <c r="D425" s="16">
        <f>Employee_Data!E425</f>
        <v>669000</v>
      </c>
      <c r="E425" s="16">
        <f t="shared" si="30"/>
        <v>-33000</v>
      </c>
      <c r="F425" s="16">
        <f>ROUND(Employee_Data!G425*0.95,-3)</f>
        <v>29000</v>
      </c>
      <c r="G425" s="16">
        <f>Employee_Data!G425</f>
        <v>30000</v>
      </c>
      <c r="H425" s="16">
        <f t="shared" si="31"/>
        <v>1000</v>
      </c>
      <c r="I425" s="17">
        <f t="shared" si="32"/>
        <v>731000</v>
      </c>
      <c r="J425" s="17">
        <f t="shared" si="33"/>
        <v>699000</v>
      </c>
      <c r="K425" s="17">
        <f t="shared" si="34"/>
        <v>-32000</v>
      </c>
    </row>
    <row r="426" spans="1:11">
      <c r="A426" s="14" t="str">
        <f>Employee_Data!A426</f>
        <v>EMP0425</v>
      </c>
      <c r="B426" s="15" t="str">
        <f>Employee_Data!B426</f>
        <v>Operations</v>
      </c>
      <c r="C426" s="16">
        <f>ROUND(Employee_Data!E426*1.05,-3)</f>
        <v>1104000</v>
      </c>
      <c r="D426" s="16">
        <f>Employee_Data!E426</f>
        <v>1051000</v>
      </c>
      <c r="E426" s="16">
        <f t="shared" si="30"/>
        <v>-53000</v>
      </c>
      <c r="F426" s="16">
        <f>ROUND(Employee_Data!G426*0.95,-3)</f>
        <v>21000</v>
      </c>
      <c r="G426" s="16">
        <f>Employee_Data!G426</f>
        <v>22000</v>
      </c>
      <c r="H426" s="16">
        <f t="shared" si="31"/>
        <v>1000</v>
      </c>
      <c r="I426" s="17">
        <f t="shared" si="32"/>
        <v>1125000</v>
      </c>
      <c r="J426" s="17">
        <f t="shared" si="33"/>
        <v>1073000</v>
      </c>
      <c r="K426" s="17">
        <f t="shared" si="34"/>
        <v>-52000</v>
      </c>
    </row>
    <row r="427" spans="1:11">
      <c r="A427" s="14" t="str">
        <f>Employee_Data!A427</f>
        <v>EMP0426</v>
      </c>
      <c r="B427" s="15" t="str">
        <f>Employee_Data!B427</f>
        <v>Operations</v>
      </c>
      <c r="C427" s="16">
        <f>ROUND(Employee_Data!E427*1.05,-3)</f>
        <v>655000</v>
      </c>
      <c r="D427" s="16">
        <f>Employee_Data!E427</f>
        <v>624000</v>
      </c>
      <c r="E427" s="16">
        <f t="shared" si="30"/>
        <v>-31000</v>
      </c>
      <c r="F427" s="16">
        <f>ROUND(Employee_Data!G427*0.95,-3)</f>
        <v>14000</v>
      </c>
      <c r="G427" s="16">
        <f>Employee_Data!G427</f>
        <v>15000</v>
      </c>
      <c r="H427" s="16">
        <f t="shared" si="31"/>
        <v>1000</v>
      </c>
      <c r="I427" s="17">
        <f t="shared" si="32"/>
        <v>669000</v>
      </c>
      <c r="J427" s="17">
        <f t="shared" si="33"/>
        <v>639000</v>
      </c>
      <c r="K427" s="17">
        <f t="shared" si="34"/>
        <v>-30000</v>
      </c>
    </row>
    <row r="428" spans="1:11">
      <c r="A428" s="14" t="str">
        <f>Employee_Data!A428</f>
        <v>EMP0427</v>
      </c>
      <c r="B428" s="15" t="str">
        <f>Employee_Data!B428</f>
        <v>Operations</v>
      </c>
      <c r="C428" s="16">
        <f>ROUND(Employee_Data!E428*1.05,-3)</f>
        <v>858000</v>
      </c>
      <c r="D428" s="16">
        <f>Employee_Data!E428</f>
        <v>817000</v>
      </c>
      <c r="E428" s="16">
        <f t="shared" si="30"/>
        <v>-41000</v>
      </c>
      <c r="F428" s="16">
        <f>ROUND(Employee_Data!G428*0.95,-3)</f>
        <v>14000</v>
      </c>
      <c r="G428" s="16">
        <f>Employee_Data!G428</f>
        <v>15000</v>
      </c>
      <c r="H428" s="16">
        <f t="shared" si="31"/>
        <v>1000</v>
      </c>
      <c r="I428" s="17">
        <f t="shared" si="32"/>
        <v>872000</v>
      </c>
      <c r="J428" s="17">
        <f t="shared" si="33"/>
        <v>832000</v>
      </c>
      <c r="K428" s="17">
        <f t="shared" si="34"/>
        <v>-40000</v>
      </c>
    </row>
    <row r="429" spans="1:11">
      <c r="A429" s="14" t="str">
        <f>Employee_Data!A429</f>
        <v>EMP0428</v>
      </c>
      <c r="B429" s="15" t="str">
        <f>Employee_Data!B429</f>
        <v>Operations</v>
      </c>
      <c r="C429" s="16">
        <f>ROUND(Employee_Data!E429*1.05,-3)</f>
        <v>685000</v>
      </c>
      <c r="D429" s="16">
        <f>Employee_Data!E429</f>
        <v>652000</v>
      </c>
      <c r="E429" s="16">
        <f t="shared" si="30"/>
        <v>-33000</v>
      </c>
      <c r="F429" s="16">
        <f>ROUND(Employee_Data!G429*0.95,-3)</f>
        <v>27000</v>
      </c>
      <c r="G429" s="16">
        <f>Employee_Data!G429</f>
        <v>28000</v>
      </c>
      <c r="H429" s="16">
        <f t="shared" si="31"/>
        <v>1000</v>
      </c>
      <c r="I429" s="17">
        <f t="shared" si="32"/>
        <v>712000</v>
      </c>
      <c r="J429" s="17">
        <f t="shared" si="33"/>
        <v>680000</v>
      </c>
      <c r="K429" s="17">
        <f t="shared" si="34"/>
        <v>-32000</v>
      </c>
    </row>
    <row r="430" spans="1:11">
      <c r="A430" s="14" t="str">
        <f>Employee_Data!A430</f>
        <v>EMP0429</v>
      </c>
      <c r="B430" s="15" t="str">
        <f>Employee_Data!B430</f>
        <v>Operations</v>
      </c>
      <c r="C430" s="16">
        <f>ROUND(Employee_Data!E430*1.05,-3)</f>
        <v>735000</v>
      </c>
      <c r="D430" s="16">
        <f>Employee_Data!E430</f>
        <v>700000</v>
      </c>
      <c r="E430" s="16">
        <f t="shared" si="30"/>
        <v>-35000</v>
      </c>
      <c r="F430" s="16">
        <f>ROUND(Employee_Data!G430*0.95,-3)</f>
        <v>14000</v>
      </c>
      <c r="G430" s="16">
        <f>Employee_Data!G430</f>
        <v>15000</v>
      </c>
      <c r="H430" s="16">
        <f t="shared" si="31"/>
        <v>1000</v>
      </c>
      <c r="I430" s="17">
        <f t="shared" si="32"/>
        <v>749000</v>
      </c>
      <c r="J430" s="17">
        <f t="shared" si="33"/>
        <v>715000</v>
      </c>
      <c r="K430" s="17">
        <f t="shared" si="34"/>
        <v>-34000</v>
      </c>
    </row>
    <row r="431" spans="1:11">
      <c r="A431" s="14" t="str">
        <f>Employee_Data!A431</f>
        <v>EMP0430</v>
      </c>
      <c r="B431" s="15" t="str">
        <f>Employee_Data!B431</f>
        <v>Operations</v>
      </c>
      <c r="C431" s="16">
        <f>ROUND(Employee_Data!E431*1.05,-3)</f>
        <v>840000</v>
      </c>
      <c r="D431" s="16">
        <f>Employee_Data!E431</f>
        <v>800000</v>
      </c>
      <c r="E431" s="16">
        <f t="shared" si="30"/>
        <v>-40000</v>
      </c>
      <c r="F431" s="16">
        <f>ROUND(Employee_Data!G431*0.95,-3)</f>
        <v>24000</v>
      </c>
      <c r="G431" s="16">
        <f>Employee_Data!G431</f>
        <v>25000</v>
      </c>
      <c r="H431" s="16">
        <f t="shared" si="31"/>
        <v>1000</v>
      </c>
      <c r="I431" s="17">
        <f t="shared" si="32"/>
        <v>864000</v>
      </c>
      <c r="J431" s="17">
        <f t="shared" si="33"/>
        <v>825000</v>
      </c>
      <c r="K431" s="17">
        <f t="shared" si="34"/>
        <v>-39000</v>
      </c>
    </row>
    <row r="432" spans="1:11">
      <c r="A432" s="14" t="str">
        <f>Employee_Data!A432</f>
        <v>EMP0431</v>
      </c>
      <c r="B432" s="15" t="str">
        <f>Employee_Data!B432</f>
        <v>Operations</v>
      </c>
      <c r="C432" s="16">
        <f>ROUND(Employee_Data!E432*1.05,-3)</f>
        <v>695000</v>
      </c>
      <c r="D432" s="16">
        <f>Employee_Data!E432</f>
        <v>662000</v>
      </c>
      <c r="E432" s="16">
        <f t="shared" si="30"/>
        <v>-33000</v>
      </c>
      <c r="F432" s="16">
        <f>ROUND(Employee_Data!G432*0.95,-3)</f>
        <v>14000</v>
      </c>
      <c r="G432" s="16">
        <f>Employee_Data!G432</f>
        <v>15000</v>
      </c>
      <c r="H432" s="16">
        <f t="shared" si="31"/>
        <v>1000</v>
      </c>
      <c r="I432" s="17">
        <f t="shared" si="32"/>
        <v>709000</v>
      </c>
      <c r="J432" s="17">
        <f t="shared" si="33"/>
        <v>677000</v>
      </c>
      <c r="K432" s="17">
        <f t="shared" si="34"/>
        <v>-32000</v>
      </c>
    </row>
    <row r="433" spans="1:11">
      <c r="A433" s="14" t="str">
        <f>Employee_Data!A433</f>
        <v>EMP0432</v>
      </c>
      <c r="B433" s="15" t="str">
        <f>Employee_Data!B433</f>
        <v>Operations</v>
      </c>
      <c r="C433" s="16">
        <f>ROUND(Employee_Data!E433*1.05,-3)</f>
        <v>721000</v>
      </c>
      <c r="D433" s="16">
        <f>Employee_Data!E433</f>
        <v>687000</v>
      </c>
      <c r="E433" s="16">
        <f t="shared" si="30"/>
        <v>-34000</v>
      </c>
      <c r="F433" s="16">
        <f>ROUND(Employee_Data!G433*0.95,-3)</f>
        <v>19000</v>
      </c>
      <c r="G433" s="16">
        <f>Employee_Data!G433</f>
        <v>20000</v>
      </c>
      <c r="H433" s="16">
        <f t="shared" si="31"/>
        <v>1000</v>
      </c>
      <c r="I433" s="17">
        <f t="shared" si="32"/>
        <v>740000</v>
      </c>
      <c r="J433" s="17">
        <f t="shared" si="33"/>
        <v>707000</v>
      </c>
      <c r="K433" s="17">
        <f t="shared" si="34"/>
        <v>-33000</v>
      </c>
    </row>
    <row r="434" spans="1:11">
      <c r="A434" s="14" t="str">
        <f>Employee_Data!A434</f>
        <v>EMP0433</v>
      </c>
      <c r="B434" s="15" t="str">
        <f>Employee_Data!B434</f>
        <v>Operations</v>
      </c>
      <c r="C434" s="16">
        <f>ROUND(Employee_Data!E434*1.05,-3)</f>
        <v>726000</v>
      </c>
      <c r="D434" s="16">
        <f>Employee_Data!E434</f>
        <v>691000</v>
      </c>
      <c r="E434" s="16">
        <f t="shared" si="30"/>
        <v>-35000</v>
      </c>
      <c r="F434" s="16">
        <f>ROUND(Employee_Data!G434*0.95,-3)</f>
        <v>19000</v>
      </c>
      <c r="G434" s="16">
        <f>Employee_Data!G434</f>
        <v>20000</v>
      </c>
      <c r="H434" s="16">
        <f t="shared" si="31"/>
        <v>1000</v>
      </c>
      <c r="I434" s="17">
        <f t="shared" si="32"/>
        <v>745000</v>
      </c>
      <c r="J434" s="17">
        <f t="shared" si="33"/>
        <v>711000</v>
      </c>
      <c r="K434" s="17">
        <f t="shared" si="34"/>
        <v>-34000</v>
      </c>
    </row>
    <row r="435" spans="1:11">
      <c r="A435" s="14" t="str">
        <f>Employee_Data!A435</f>
        <v>EMP0434</v>
      </c>
      <c r="B435" s="15" t="str">
        <f>Employee_Data!B435</f>
        <v>Operations</v>
      </c>
      <c r="C435" s="16">
        <f>ROUND(Employee_Data!E435*1.05,-3)</f>
        <v>914000</v>
      </c>
      <c r="D435" s="16">
        <f>Employee_Data!E435</f>
        <v>870000</v>
      </c>
      <c r="E435" s="16">
        <f t="shared" si="30"/>
        <v>-44000</v>
      </c>
      <c r="F435" s="16">
        <f>ROUND(Employee_Data!G435*0.95,-3)</f>
        <v>27000</v>
      </c>
      <c r="G435" s="16">
        <f>Employee_Data!G435</f>
        <v>28000</v>
      </c>
      <c r="H435" s="16">
        <f t="shared" si="31"/>
        <v>1000</v>
      </c>
      <c r="I435" s="17">
        <f t="shared" si="32"/>
        <v>941000</v>
      </c>
      <c r="J435" s="17">
        <f t="shared" si="33"/>
        <v>898000</v>
      </c>
      <c r="K435" s="17">
        <f t="shared" si="34"/>
        <v>-43000</v>
      </c>
    </row>
    <row r="436" spans="1:11">
      <c r="A436" s="14" t="str">
        <f>Employee_Data!A436</f>
        <v>EMP0435</v>
      </c>
      <c r="B436" s="15" t="str">
        <f>Employee_Data!B436</f>
        <v>Operations</v>
      </c>
      <c r="C436" s="16">
        <f>ROUND(Employee_Data!E436*1.05,-3)</f>
        <v>767000</v>
      </c>
      <c r="D436" s="16">
        <f>Employee_Data!E436</f>
        <v>730000</v>
      </c>
      <c r="E436" s="16">
        <f t="shared" si="30"/>
        <v>-37000</v>
      </c>
      <c r="F436" s="16">
        <f>ROUND(Employee_Data!G436*0.95,-3)</f>
        <v>17000</v>
      </c>
      <c r="G436" s="16">
        <f>Employee_Data!G436</f>
        <v>18000</v>
      </c>
      <c r="H436" s="16">
        <f t="shared" si="31"/>
        <v>1000</v>
      </c>
      <c r="I436" s="17">
        <f t="shared" si="32"/>
        <v>784000</v>
      </c>
      <c r="J436" s="17">
        <f t="shared" si="33"/>
        <v>748000</v>
      </c>
      <c r="K436" s="17">
        <f t="shared" si="34"/>
        <v>-36000</v>
      </c>
    </row>
    <row r="437" spans="1:11">
      <c r="A437" s="14" t="str">
        <f>Employee_Data!A437</f>
        <v>EMP0436</v>
      </c>
      <c r="B437" s="15" t="str">
        <f>Employee_Data!B437</f>
        <v>Operations</v>
      </c>
      <c r="C437" s="16">
        <f>ROUND(Employee_Data!E437*1.05,-3)</f>
        <v>1005000</v>
      </c>
      <c r="D437" s="16">
        <f>Employee_Data!E437</f>
        <v>957000</v>
      </c>
      <c r="E437" s="16">
        <f t="shared" si="30"/>
        <v>-48000</v>
      </c>
      <c r="F437" s="16">
        <f>ROUND(Employee_Data!G437*0.95,-3)</f>
        <v>17000</v>
      </c>
      <c r="G437" s="16">
        <f>Employee_Data!G437</f>
        <v>18000</v>
      </c>
      <c r="H437" s="16">
        <f t="shared" si="31"/>
        <v>1000</v>
      </c>
      <c r="I437" s="17">
        <f t="shared" si="32"/>
        <v>1022000</v>
      </c>
      <c r="J437" s="17">
        <f t="shared" si="33"/>
        <v>975000</v>
      </c>
      <c r="K437" s="17">
        <f t="shared" si="34"/>
        <v>-47000</v>
      </c>
    </row>
    <row r="438" spans="1:11">
      <c r="A438" s="14" t="str">
        <f>Employee_Data!A438</f>
        <v>EMP0437</v>
      </c>
      <c r="B438" s="15" t="str">
        <f>Employee_Data!B438</f>
        <v>Operations</v>
      </c>
      <c r="C438" s="16">
        <f>ROUND(Employee_Data!E438*1.05,-3)</f>
        <v>793000</v>
      </c>
      <c r="D438" s="16">
        <f>Employee_Data!E438</f>
        <v>755000</v>
      </c>
      <c r="E438" s="16">
        <f t="shared" si="30"/>
        <v>-38000</v>
      </c>
      <c r="F438" s="16">
        <f>ROUND(Employee_Data!G438*0.95,-3)</f>
        <v>27000</v>
      </c>
      <c r="G438" s="16">
        <f>Employee_Data!G438</f>
        <v>28000</v>
      </c>
      <c r="H438" s="16">
        <f t="shared" si="31"/>
        <v>1000</v>
      </c>
      <c r="I438" s="17">
        <f t="shared" si="32"/>
        <v>820000</v>
      </c>
      <c r="J438" s="17">
        <f t="shared" si="33"/>
        <v>783000</v>
      </c>
      <c r="K438" s="17">
        <f t="shared" si="34"/>
        <v>-37000</v>
      </c>
    </row>
    <row r="439" spans="1:11">
      <c r="A439" s="14" t="str">
        <f>Employee_Data!A439</f>
        <v>EMP0438</v>
      </c>
      <c r="B439" s="15" t="str">
        <f>Employee_Data!B439</f>
        <v>Operations</v>
      </c>
      <c r="C439" s="16">
        <f>ROUND(Employee_Data!E439*1.05,-3)</f>
        <v>705000</v>
      </c>
      <c r="D439" s="16">
        <f>Employee_Data!E439</f>
        <v>671000</v>
      </c>
      <c r="E439" s="16">
        <f t="shared" si="30"/>
        <v>-34000</v>
      </c>
      <c r="F439" s="16">
        <f>ROUND(Employee_Data!G439*0.95,-3)</f>
        <v>27000</v>
      </c>
      <c r="G439" s="16">
        <f>Employee_Data!G439</f>
        <v>28000</v>
      </c>
      <c r="H439" s="16">
        <f t="shared" si="31"/>
        <v>1000</v>
      </c>
      <c r="I439" s="17">
        <f t="shared" si="32"/>
        <v>732000</v>
      </c>
      <c r="J439" s="17">
        <f t="shared" si="33"/>
        <v>699000</v>
      </c>
      <c r="K439" s="17">
        <f t="shared" si="34"/>
        <v>-33000</v>
      </c>
    </row>
    <row r="440" spans="1:11">
      <c r="A440" s="14" t="str">
        <f>Employee_Data!A440</f>
        <v>EMP0439</v>
      </c>
      <c r="B440" s="15" t="str">
        <f>Employee_Data!B440</f>
        <v>Operations</v>
      </c>
      <c r="C440" s="16">
        <f>ROUND(Employee_Data!E440*1.05,-3)</f>
        <v>791000</v>
      </c>
      <c r="D440" s="16">
        <f>Employee_Data!E440</f>
        <v>753000</v>
      </c>
      <c r="E440" s="16">
        <f t="shared" si="30"/>
        <v>-38000</v>
      </c>
      <c r="F440" s="16">
        <f>ROUND(Employee_Data!G440*0.95,-3)</f>
        <v>29000</v>
      </c>
      <c r="G440" s="16">
        <f>Employee_Data!G440</f>
        <v>30000</v>
      </c>
      <c r="H440" s="16">
        <f t="shared" si="31"/>
        <v>1000</v>
      </c>
      <c r="I440" s="17">
        <f t="shared" si="32"/>
        <v>820000</v>
      </c>
      <c r="J440" s="17">
        <f t="shared" si="33"/>
        <v>783000</v>
      </c>
      <c r="K440" s="17">
        <f t="shared" si="34"/>
        <v>-37000</v>
      </c>
    </row>
    <row r="441" spans="1:11">
      <c r="A441" s="14" t="str">
        <f>Employee_Data!A441</f>
        <v>EMP0440</v>
      </c>
      <c r="B441" s="15" t="str">
        <f>Employee_Data!B441</f>
        <v>Operations</v>
      </c>
      <c r="C441" s="16">
        <f>ROUND(Employee_Data!E441*1.05,-3)</f>
        <v>791000</v>
      </c>
      <c r="D441" s="16">
        <f>Employee_Data!E441</f>
        <v>753000</v>
      </c>
      <c r="E441" s="16">
        <f t="shared" si="30"/>
        <v>-38000</v>
      </c>
      <c r="F441" s="16">
        <f>ROUND(Employee_Data!G441*0.95,-3)</f>
        <v>17000</v>
      </c>
      <c r="G441" s="16">
        <f>Employee_Data!G441</f>
        <v>18000</v>
      </c>
      <c r="H441" s="16">
        <f t="shared" si="31"/>
        <v>1000</v>
      </c>
      <c r="I441" s="17">
        <f t="shared" si="32"/>
        <v>808000</v>
      </c>
      <c r="J441" s="17">
        <f t="shared" si="33"/>
        <v>771000</v>
      </c>
      <c r="K441" s="17">
        <f t="shared" si="34"/>
        <v>-37000</v>
      </c>
    </row>
    <row r="442" spans="1:11">
      <c r="A442" s="14" t="str">
        <f>Employee_Data!A442</f>
        <v>EMP0441</v>
      </c>
      <c r="B442" s="15" t="str">
        <f>Employee_Data!B442</f>
        <v>Operations</v>
      </c>
      <c r="C442" s="16">
        <f>ROUND(Employee_Data!E442*1.05,-3)</f>
        <v>901000</v>
      </c>
      <c r="D442" s="16">
        <f>Employee_Data!E442</f>
        <v>858000</v>
      </c>
      <c r="E442" s="16">
        <f t="shared" si="30"/>
        <v>-43000</v>
      </c>
      <c r="F442" s="16">
        <f>ROUND(Employee_Data!G442*0.95,-3)</f>
        <v>29000</v>
      </c>
      <c r="G442" s="16">
        <f>Employee_Data!G442</f>
        <v>30000</v>
      </c>
      <c r="H442" s="16">
        <f t="shared" si="31"/>
        <v>1000</v>
      </c>
      <c r="I442" s="17">
        <f t="shared" si="32"/>
        <v>930000</v>
      </c>
      <c r="J442" s="17">
        <f t="shared" si="33"/>
        <v>888000</v>
      </c>
      <c r="K442" s="17">
        <f t="shared" si="34"/>
        <v>-42000</v>
      </c>
    </row>
    <row r="443" spans="1:11">
      <c r="A443" s="14" t="str">
        <f>Employee_Data!A443</f>
        <v>EMP0442</v>
      </c>
      <c r="B443" s="15" t="str">
        <f>Employee_Data!B443</f>
        <v>Operations</v>
      </c>
      <c r="C443" s="16">
        <f>ROUND(Employee_Data!E443*1.05,-3)</f>
        <v>568000</v>
      </c>
      <c r="D443" s="16">
        <f>Employee_Data!E443</f>
        <v>541000</v>
      </c>
      <c r="E443" s="16">
        <f t="shared" si="30"/>
        <v>-27000</v>
      </c>
      <c r="F443" s="16">
        <f>ROUND(Employee_Data!G443*0.95,-3)</f>
        <v>27000</v>
      </c>
      <c r="G443" s="16">
        <f>Employee_Data!G443</f>
        <v>28000</v>
      </c>
      <c r="H443" s="16">
        <f t="shared" si="31"/>
        <v>1000</v>
      </c>
      <c r="I443" s="17">
        <f t="shared" si="32"/>
        <v>595000</v>
      </c>
      <c r="J443" s="17">
        <f t="shared" si="33"/>
        <v>569000</v>
      </c>
      <c r="K443" s="17">
        <f t="shared" si="34"/>
        <v>-26000</v>
      </c>
    </row>
    <row r="444" spans="1:11">
      <c r="A444" s="14" t="str">
        <f>Employee_Data!A444</f>
        <v>EMP0443</v>
      </c>
      <c r="B444" s="15" t="str">
        <f>Employee_Data!B444</f>
        <v>Operations</v>
      </c>
      <c r="C444" s="16">
        <f>ROUND(Employee_Data!E444*1.05,-3)</f>
        <v>580000</v>
      </c>
      <c r="D444" s="16">
        <f>Employee_Data!E444</f>
        <v>552000</v>
      </c>
      <c r="E444" s="16">
        <f t="shared" si="30"/>
        <v>-28000</v>
      </c>
      <c r="F444" s="16">
        <f>ROUND(Employee_Data!G444*0.95,-3)</f>
        <v>29000</v>
      </c>
      <c r="G444" s="16">
        <f>Employee_Data!G444</f>
        <v>30000</v>
      </c>
      <c r="H444" s="16">
        <f t="shared" si="31"/>
        <v>1000</v>
      </c>
      <c r="I444" s="17">
        <f t="shared" si="32"/>
        <v>609000</v>
      </c>
      <c r="J444" s="17">
        <f t="shared" si="33"/>
        <v>582000</v>
      </c>
      <c r="K444" s="17">
        <f t="shared" si="34"/>
        <v>-27000</v>
      </c>
    </row>
    <row r="445" spans="1:11">
      <c r="A445" s="14" t="str">
        <f>Employee_Data!A445</f>
        <v>EMP0444</v>
      </c>
      <c r="B445" s="15" t="str">
        <f>Employee_Data!B445</f>
        <v>Operations</v>
      </c>
      <c r="C445" s="16">
        <f>ROUND(Employee_Data!E445*1.05,-3)</f>
        <v>644000</v>
      </c>
      <c r="D445" s="16">
        <f>Employee_Data!E445</f>
        <v>613000</v>
      </c>
      <c r="E445" s="16">
        <f t="shared" si="30"/>
        <v>-31000</v>
      </c>
      <c r="F445" s="16">
        <f>ROUND(Employee_Data!G445*0.95,-3)</f>
        <v>27000</v>
      </c>
      <c r="G445" s="16">
        <f>Employee_Data!G445</f>
        <v>28000</v>
      </c>
      <c r="H445" s="16">
        <f t="shared" si="31"/>
        <v>1000</v>
      </c>
      <c r="I445" s="17">
        <f t="shared" si="32"/>
        <v>671000</v>
      </c>
      <c r="J445" s="17">
        <f t="shared" si="33"/>
        <v>641000</v>
      </c>
      <c r="K445" s="17">
        <f t="shared" si="34"/>
        <v>-30000</v>
      </c>
    </row>
    <row r="446" spans="1:11">
      <c r="A446" s="14" t="str">
        <f>Employee_Data!A446</f>
        <v>EMP0445</v>
      </c>
      <c r="B446" s="15" t="str">
        <f>Employee_Data!B446</f>
        <v>Operations</v>
      </c>
      <c r="C446" s="16">
        <f>ROUND(Employee_Data!E446*1.05,-3)</f>
        <v>625000</v>
      </c>
      <c r="D446" s="16">
        <f>Employee_Data!E446</f>
        <v>595000</v>
      </c>
      <c r="E446" s="16">
        <f t="shared" si="30"/>
        <v>-30000</v>
      </c>
      <c r="F446" s="16">
        <f>ROUND(Employee_Data!G446*0.95,-3)</f>
        <v>21000</v>
      </c>
      <c r="G446" s="16">
        <f>Employee_Data!G446</f>
        <v>22000</v>
      </c>
      <c r="H446" s="16">
        <f t="shared" si="31"/>
        <v>1000</v>
      </c>
      <c r="I446" s="17">
        <f t="shared" si="32"/>
        <v>646000</v>
      </c>
      <c r="J446" s="17">
        <f t="shared" si="33"/>
        <v>617000</v>
      </c>
      <c r="K446" s="17">
        <f t="shared" si="34"/>
        <v>-29000</v>
      </c>
    </row>
    <row r="447" spans="1:11">
      <c r="A447" s="14" t="str">
        <f>Employee_Data!A447</f>
        <v>EMP0446</v>
      </c>
      <c r="B447" s="15" t="str">
        <f>Employee_Data!B447</f>
        <v>Operations</v>
      </c>
      <c r="C447" s="16">
        <f>ROUND(Employee_Data!E447*1.05,-3)</f>
        <v>620000</v>
      </c>
      <c r="D447" s="16">
        <f>Employee_Data!E447</f>
        <v>590000</v>
      </c>
      <c r="E447" s="16">
        <f t="shared" si="30"/>
        <v>-30000</v>
      </c>
      <c r="F447" s="16">
        <f>ROUND(Employee_Data!G447*0.95,-3)</f>
        <v>24000</v>
      </c>
      <c r="G447" s="16">
        <f>Employee_Data!G447</f>
        <v>25000</v>
      </c>
      <c r="H447" s="16">
        <f t="shared" si="31"/>
        <v>1000</v>
      </c>
      <c r="I447" s="17">
        <f t="shared" si="32"/>
        <v>644000</v>
      </c>
      <c r="J447" s="17">
        <f t="shared" si="33"/>
        <v>615000</v>
      </c>
      <c r="K447" s="17">
        <f t="shared" si="34"/>
        <v>-29000</v>
      </c>
    </row>
    <row r="448" spans="1:11">
      <c r="A448" s="14" t="str">
        <f>Employee_Data!A448</f>
        <v>EMP0447</v>
      </c>
      <c r="B448" s="15" t="str">
        <f>Employee_Data!B448</f>
        <v>Operations</v>
      </c>
      <c r="C448" s="16">
        <f>ROUND(Employee_Data!E448*1.05,-3)</f>
        <v>590000</v>
      </c>
      <c r="D448" s="16">
        <f>Employee_Data!E448</f>
        <v>562000</v>
      </c>
      <c r="E448" s="16">
        <f t="shared" si="30"/>
        <v>-28000</v>
      </c>
      <c r="F448" s="16">
        <f>ROUND(Employee_Data!G448*0.95,-3)</f>
        <v>24000</v>
      </c>
      <c r="G448" s="16">
        <f>Employee_Data!G448</f>
        <v>25000</v>
      </c>
      <c r="H448" s="16">
        <f t="shared" si="31"/>
        <v>1000</v>
      </c>
      <c r="I448" s="17">
        <f t="shared" si="32"/>
        <v>614000</v>
      </c>
      <c r="J448" s="17">
        <f t="shared" si="33"/>
        <v>587000</v>
      </c>
      <c r="K448" s="17">
        <f t="shared" si="34"/>
        <v>-27000</v>
      </c>
    </row>
    <row r="449" spans="1:11">
      <c r="A449" s="14" t="str">
        <f>Employee_Data!A449</f>
        <v>EMP0448</v>
      </c>
      <c r="B449" s="15" t="str">
        <f>Employee_Data!B449</f>
        <v>Operations</v>
      </c>
      <c r="C449" s="16">
        <f>ROUND(Employee_Data!E449*1.05,-3)</f>
        <v>602000</v>
      </c>
      <c r="D449" s="16">
        <f>Employee_Data!E449</f>
        <v>573000</v>
      </c>
      <c r="E449" s="16">
        <f t="shared" si="30"/>
        <v>-29000</v>
      </c>
      <c r="F449" s="16">
        <f>ROUND(Employee_Data!G449*0.95,-3)</f>
        <v>33000</v>
      </c>
      <c r="G449" s="16">
        <f>Employee_Data!G449</f>
        <v>35000</v>
      </c>
      <c r="H449" s="16">
        <f t="shared" si="31"/>
        <v>2000</v>
      </c>
      <c r="I449" s="17">
        <f t="shared" si="32"/>
        <v>635000</v>
      </c>
      <c r="J449" s="17">
        <f t="shared" si="33"/>
        <v>608000</v>
      </c>
      <c r="K449" s="17">
        <f t="shared" si="34"/>
        <v>-27000</v>
      </c>
    </row>
    <row r="450" spans="1:11">
      <c r="A450" s="14" t="str">
        <f>Employee_Data!A450</f>
        <v>EMP0449</v>
      </c>
      <c r="B450" s="15" t="str">
        <f>Employee_Data!B450</f>
        <v>Operations</v>
      </c>
      <c r="C450" s="16">
        <f>ROUND(Employee_Data!E450*1.05,-3)</f>
        <v>582000</v>
      </c>
      <c r="D450" s="16">
        <f>Employee_Data!E450</f>
        <v>554000</v>
      </c>
      <c r="E450" s="16">
        <f t="shared" si="30"/>
        <v>-28000</v>
      </c>
      <c r="F450" s="16">
        <f>ROUND(Employee_Data!G450*0.95,-3)</f>
        <v>29000</v>
      </c>
      <c r="G450" s="16">
        <f>Employee_Data!G450</f>
        <v>30000</v>
      </c>
      <c r="H450" s="16">
        <f t="shared" si="31"/>
        <v>1000</v>
      </c>
      <c r="I450" s="17">
        <f t="shared" si="32"/>
        <v>611000</v>
      </c>
      <c r="J450" s="17">
        <f t="shared" si="33"/>
        <v>584000</v>
      </c>
      <c r="K450" s="17">
        <f t="shared" si="34"/>
        <v>-27000</v>
      </c>
    </row>
    <row r="451" spans="1:11">
      <c r="A451" s="14" t="str">
        <f>Employee_Data!A451</f>
        <v>EMP0450</v>
      </c>
      <c r="B451" s="15" t="str">
        <f>Employee_Data!B451</f>
        <v>Operations</v>
      </c>
      <c r="C451" s="16">
        <f>ROUND(Employee_Data!E451*1.05,-3)</f>
        <v>792000</v>
      </c>
      <c r="D451" s="16">
        <f>Employee_Data!E451</f>
        <v>754000</v>
      </c>
      <c r="E451" s="16">
        <f t="shared" ref="E451:E501" si="35">D451-C451</f>
        <v>-38000</v>
      </c>
      <c r="F451" s="16">
        <f>ROUND(Employee_Data!G451*0.95,-3)</f>
        <v>27000</v>
      </c>
      <c r="G451" s="16">
        <f>Employee_Data!G451</f>
        <v>28000</v>
      </c>
      <c r="H451" s="16">
        <f t="shared" ref="H451:H501" si="36">G451-F451</f>
        <v>1000</v>
      </c>
      <c r="I451" s="17">
        <f t="shared" ref="I451:I501" si="37">C451+F451</f>
        <v>819000</v>
      </c>
      <c r="J451" s="17">
        <f t="shared" ref="J451:J501" si="38">D451+G451</f>
        <v>782000</v>
      </c>
      <c r="K451" s="17">
        <f t="shared" ref="K451:K501" si="39">J451-I451</f>
        <v>-37000</v>
      </c>
    </row>
    <row r="452" spans="1:11">
      <c r="A452" s="14" t="str">
        <f>Employee_Data!A452</f>
        <v>EMP0451</v>
      </c>
      <c r="B452" s="15" t="str">
        <f>Employee_Data!B452</f>
        <v>Operations</v>
      </c>
      <c r="C452" s="16">
        <f>ROUND(Employee_Data!E452*1.05,-3)</f>
        <v>744000</v>
      </c>
      <c r="D452" s="16">
        <f>Employee_Data!E452</f>
        <v>709000</v>
      </c>
      <c r="E452" s="16">
        <f t="shared" si="35"/>
        <v>-35000</v>
      </c>
      <c r="F452" s="16">
        <f>ROUND(Employee_Data!G452*0.95,-3)</f>
        <v>24000</v>
      </c>
      <c r="G452" s="16">
        <f>Employee_Data!G452</f>
        <v>25000</v>
      </c>
      <c r="H452" s="16">
        <f t="shared" si="36"/>
        <v>1000</v>
      </c>
      <c r="I452" s="17">
        <f t="shared" si="37"/>
        <v>768000</v>
      </c>
      <c r="J452" s="17">
        <f t="shared" si="38"/>
        <v>734000</v>
      </c>
      <c r="K452" s="17">
        <f t="shared" si="39"/>
        <v>-34000</v>
      </c>
    </row>
    <row r="453" spans="1:11">
      <c r="A453" s="14" t="str">
        <f>Employee_Data!A453</f>
        <v>EMP0452</v>
      </c>
      <c r="B453" s="15" t="str">
        <f>Employee_Data!B453</f>
        <v>Operations</v>
      </c>
      <c r="C453" s="16">
        <f>ROUND(Employee_Data!E453*1.05,-3)</f>
        <v>1041000</v>
      </c>
      <c r="D453" s="16">
        <f>Employee_Data!E453</f>
        <v>991000</v>
      </c>
      <c r="E453" s="16">
        <f t="shared" si="35"/>
        <v>-50000</v>
      </c>
      <c r="F453" s="16">
        <f>ROUND(Employee_Data!G453*0.95,-3)</f>
        <v>29000</v>
      </c>
      <c r="G453" s="16">
        <f>Employee_Data!G453</f>
        <v>30000</v>
      </c>
      <c r="H453" s="16">
        <f t="shared" si="36"/>
        <v>1000</v>
      </c>
      <c r="I453" s="17">
        <f t="shared" si="37"/>
        <v>1070000</v>
      </c>
      <c r="J453" s="17">
        <f t="shared" si="38"/>
        <v>1021000</v>
      </c>
      <c r="K453" s="17">
        <f t="shared" si="39"/>
        <v>-49000</v>
      </c>
    </row>
    <row r="454" spans="1:11">
      <c r="A454" s="14" t="str">
        <f>Employee_Data!A454</f>
        <v>EMP0453</v>
      </c>
      <c r="B454" s="15" t="str">
        <f>Employee_Data!B454</f>
        <v>Operations</v>
      </c>
      <c r="C454" s="16">
        <f>ROUND(Employee_Data!E454*1.05,-3)</f>
        <v>664000</v>
      </c>
      <c r="D454" s="16">
        <f>Employee_Data!E454</f>
        <v>632000</v>
      </c>
      <c r="E454" s="16">
        <f t="shared" si="35"/>
        <v>-32000</v>
      </c>
      <c r="F454" s="16">
        <f>ROUND(Employee_Data!G454*0.95,-3)</f>
        <v>21000</v>
      </c>
      <c r="G454" s="16">
        <f>Employee_Data!G454</f>
        <v>22000</v>
      </c>
      <c r="H454" s="16">
        <f t="shared" si="36"/>
        <v>1000</v>
      </c>
      <c r="I454" s="17">
        <f t="shared" si="37"/>
        <v>685000</v>
      </c>
      <c r="J454" s="17">
        <f t="shared" si="38"/>
        <v>654000</v>
      </c>
      <c r="K454" s="17">
        <f t="shared" si="39"/>
        <v>-31000</v>
      </c>
    </row>
    <row r="455" spans="1:11">
      <c r="A455" s="14" t="str">
        <f>Employee_Data!A455</f>
        <v>EMP0454</v>
      </c>
      <c r="B455" s="15" t="str">
        <f>Employee_Data!B455</f>
        <v>Operations</v>
      </c>
      <c r="C455" s="16">
        <f>ROUND(Employee_Data!E455*1.05,-3)</f>
        <v>676000</v>
      </c>
      <c r="D455" s="16">
        <f>Employee_Data!E455</f>
        <v>644000</v>
      </c>
      <c r="E455" s="16">
        <f t="shared" si="35"/>
        <v>-32000</v>
      </c>
      <c r="F455" s="16">
        <f>ROUND(Employee_Data!G455*0.95,-3)</f>
        <v>21000</v>
      </c>
      <c r="G455" s="16">
        <f>Employee_Data!G455</f>
        <v>22000</v>
      </c>
      <c r="H455" s="16">
        <f t="shared" si="36"/>
        <v>1000</v>
      </c>
      <c r="I455" s="17">
        <f t="shared" si="37"/>
        <v>697000</v>
      </c>
      <c r="J455" s="17">
        <f t="shared" si="38"/>
        <v>666000</v>
      </c>
      <c r="K455" s="17">
        <f t="shared" si="39"/>
        <v>-31000</v>
      </c>
    </row>
    <row r="456" spans="1:11">
      <c r="A456" s="14" t="str">
        <f>Employee_Data!A456</f>
        <v>EMP0455</v>
      </c>
      <c r="B456" s="15" t="str">
        <f>Employee_Data!B456</f>
        <v>Operations</v>
      </c>
      <c r="C456" s="16">
        <f>ROUND(Employee_Data!E456*1.05,-3)</f>
        <v>882000</v>
      </c>
      <c r="D456" s="16">
        <f>Employee_Data!E456</f>
        <v>840000</v>
      </c>
      <c r="E456" s="16">
        <f t="shared" si="35"/>
        <v>-42000</v>
      </c>
      <c r="F456" s="16">
        <f>ROUND(Employee_Data!G456*0.95,-3)</f>
        <v>33000</v>
      </c>
      <c r="G456" s="16">
        <f>Employee_Data!G456</f>
        <v>35000</v>
      </c>
      <c r="H456" s="16">
        <f t="shared" si="36"/>
        <v>2000</v>
      </c>
      <c r="I456" s="17">
        <f t="shared" si="37"/>
        <v>915000</v>
      </c>
      <c r="J456" s="17">
        <f t="shared" si="38"/>
        <v>875000</v>
      </c>
      <c r="K456" s="17">
        <f t="shared" si="39"/>
        <v>-40000</v>
      </c>
    </row>
    <row r="457" spans="1:11">
      <c r="A457" s="14" t="str">
        <f>Employee_Data!A457</f>
        <v>EMP0456</v>
      </c>
      <c r="B457" s="15" t="str">
        <f>Employee_Data!B457</f>
        <v>Operations</v>
      </c>
      <c r="C457" s="16">
        <f>ROUND(Employee_Data!E457*1.05,-3)</f>
        <v>677000</v>
      </c>
      <c r="D457" s="16">
        <f>Employee_Data!E457</f>
        <v>645000</v>
      </c>
      <c r="E457" s="16">
        <f t="shared" si="35"/>
        <v>-32000</v>
      </c>
      <c r="F457" s="16">
        <f>ROUND(Employee_Data!G457*0.95,-3)</f>
        <v>17000</v>
      </c>
      <c r="G457" s="16">
        <f>Employee_Data!G457</f>
        <v>18000</v>
      </c>
      <c r="H457" s="16">
        <f t="shared" si="36"/>
        <v>1000</v>
      </c>
      <c r="I457" s="17">
        <f t="shared" si="37"/>
        <v>694000</v>
      </c>
      <c r="J457" s="17">
        <f t="shared" si="38"/>
        <v>663000</v>
      </c>
      <c r="K457" s="17">
        <f t="shared" si="39"/>
        <v>-31000</v>
      </c>
    </row>
    <row r="458" spans="1:11">
      <c r="A458" s="14" t="str">
        <f>Employee_Data!A458</f>
        <v>EMP0457</v>
      </c>
      <c r="B458" s="15" t="str">
        <f>Employee_Data!B458</f>
        <v>Operations</v>
      </c>
      <c r="C458" s="16">
        <f>ROUND(Employee_Data!E458*1.05,-3)</f>
        <v>707000</v>
      </c>
      <c r="D458" s="16">
        <f>Employee_Data!E458</f>
        <v>673000</v>
      </c>
      <c r="E458" s="16">
        <f t="shared" si="35"/>
        <v>-34000</v>
      </c>
      <c r="F458" s="16">
        <f>ROUND(Employee_Data!G458*0.95,-3)</f>
        <v>24000</v>
      </c>
      <c r="G458" s="16">
        <f>Employee_Data!G458</f>
        <v>25000</v>
      </c>
      <c r="H458" s="16">
        <f t="shared" si="36"/>
        <v>1000</v>
      </c>
      <c r="I458" s="17">
        <f t="shared" si="37"/>
        <v>731000</v>
      </c>
      <c r="J458" s="17">
        <f t="shared" si="38"/>
        <v>698000</v>
      </c>
      <c r="K458" s="17">
        <f t="shared" si="39"/>
        <v>-33000</v>
      </c>
    </row>
    <row r="459" spans="1:11">
      <c r="A459" s="14" t="str">
        <f>Employee_Data!A459</f>
        <v>EMP0458</v>
      </c>
      <c r="B459" s="15" t="str">
        <f>Employee_Data!B459</f>
        <v>Operations</v>
      </c>
      <c r="C459" s="16">
        <f>ROUND(Employee_Data!E459*1.05,-3)</f>
        <v>777000</v>
      </c>
      <c r="D459" s="16">
        <f>Employee_Data!E459</f>
        <v>740000</v>
      </c>
      <c r="E459" s="16">
        <f t="shared" si="35"/>
        <v>-37000</v>
      </c>
      <c r="F459" s="16">
        <f>ROUND(Employee_Data!G459*0.95,-3)</f>
        <v>17000</v>
      </c>
      <c r="G459" s="16">
        <f>Employee_Data!G459</f>
        <v>18000</v>
      </c>
      <c r="H459" s="16">
        <f t="shared" si="36"/>
        <v>1000</v>
      </c>
      <c r="I459" s="17">
        <f t="shared" si="37"/>
        <v>794000</v>
      </c>
      <c r="J459" s="17">
        <f t="shared" si="38"/>
        <v>758000</v>
      </c>
      <c r="K459" s="17">
        <f t="shared" si="39"/>
        <v>-36000</v>
      </c>
    </row>
    <row r="460" spans="1:11">
      <c r="A460" s="14" t="str">
        <f>Employee_Data!A460</f>
        <v>EMP0459</v>
      </c>
      <c r="B460" s="15" t="str">
        <f>Employee_Data!B460</f>
        <v>Operations</v>
      </c>
      <c r="C460" s="16">
        <f>ROUND(Employee_Data!E460*1.05,-3)</f>
        <v>756000</v>
      </c>
      <c r="D460" s="16">
        <f>Employee_Data!E460</f>
        <v>720000</v>
      </c>
      <c r="E460" s="16">
        <f t="shared" si="35"/>
        <v>-36000</v>
      </c>
      <c r="F460" s="16">
        <f>ROUND(Employee_Data!G460*0.95,-3)</f>
        <v>29000</v>
      </c>
      <c r="G460" s="16">
        <f>Employee_Data!G460</f>
        <v>30000</v>
      </c>
      <c r="H460" s="16">
        <f t="shared" si="36"/>
        <v>1000</v>
      </c>
      <c r="I460" s="17">
        <f t="shared" si="37"/>
        <v>785000</v>
      </c>
      <c r="J460" s="17">
        <f t="shared" si="38"/>
        <v>750000</v>
      </c>
      <c r="K460" s="17">
        <f t="shared" si="39"/>
        <v>-35000</v>
      </c>
    </row>
    <row r="461" spans="1:11">
      <c r="A461" s="14" t="str">
        <f>Employee_Data!A461</f>
        <v>EMP0460</v>
      </c>
      <c r="B461" s="15" t="str">
        <f>Employee_Data!B461</f>
        <v>Operations</v>
      </c>
      <c r="C461" s="16">
        <f>ROUND(Employee_Data!E461*1.05,-3)</f>
        <v>699000</v>
      </c>
      <c r="D461" s="16">
        <f>Employee_Data!E461</f>
        <v>666000</v>
      </c>
      <c r="E461" s="16">
        <f t="shared" si="35"/>
        <v>-33000</v>
      </c>
      <c r="F461" s="16">
        <f>ROUND(Employee_Data!G461*0.95,-3)</f>
        <v>17000</v>
      </c>
      <c r="G461" s="16">
        <f>Employee_Data!G461</f>
        <v>18000</v>
      </c>
      <c r="H461" s="16">
        <f t="shared" si="36"/>
        <v>1000</v>
      </c>
      <c r="I461" s="17">
        <f t="shared" si="37"/>
        <v>716000</v>
      </c>
      <c r="J461" s="17">
        <f t="shared" si="38"/>
        <v>684000</v>
      </c>
      <c r="K461" s="17">
        <f t="shared" si="39"/>
        <v>-32000</v>
      </c>
    </row>
    <row r="462" spans="1:11">
      <c r="A462" s="14" t="str">
        <f>Employee_Data!A462</f>
        <v>EMP0461</v>
      </c>
      <c r="B462" s="15" t="str">
        <f>Employee_Data!B462</f>
        <v>Operations</v>
      </c>
      <c r="C462" s="16">
        <f>ROUND(Employee_Data!E462*1.05,-3)</f>
        <v>659000</v>
      </c>
      <c r="D462" s="16">
        <f>Employee_Data!E462</f>
        <v>628000</v>
      </c>
      <c r="E462" s="16">
        <f t="shared" si="35"/>
        <v>-31000</v>
      </c>
      <c r="F462" s="16">
        <f>ROUND(Employee_Data!G462*0.95,-3)</f>
        <v>14000</v>
      </c>
      <c r="G462" s="16">
        <f>Employee_Data!G462</f>
        <v>15000</v>
      </c>
      <c r="H462" s="16">
        <f t="shared" si="36"/>
        <v>1000</v>
      </c>
      <c r="I462" s="17">
        <f t="shared" si="37"/>
        <v>673000</v>
      </c>
      <c r="J462" s="17">
        <f t="shared" si="38"/>
        <v>643000</v>
      </c>
      <c r="K462" s="17">
        <f t="shared" si="39"/>
        <v>-30000</v>
      </c>
    </row>
    <row r="463" spans="1:11">
      <c r="A463" s="14" t="str">
        <f>Employee_Data!A463</f>
        <v>EMP0462</v>
      </c>
      <c r="B463" s="15" t="str">
        <f>Employee_Data!B463</f>
        <v>Operations</v>
      </c>
      <c r="C463" s="16">
        <f>ROUND(Employee_Data!E463*1.05,-3)</f>
        <v>767000</v>
      </c>
      <c r="D463" s="16">
        <f>Employee_Data!E463</f>
        <v>730000</v>
      </c>
      <c r="E463" s="16">
        <f t="shared" si="35"/>
        <v>-37000</v>
      </c>
      <c r="F463" s="16">
        <f>ROUND(Employee_Data!G463*0.95,-3)</f>
        <v>27000</v>
      </c>
      <c r="G463" s="16">
        <f>Employee_Data!G463</f>
        <v>28000</v>
      </c>
      <c r="H463" s="16">
        <f t="shared" si="36"/>
        <v>1000</v>
      </c>
      <c r="I463" s="17">
        <f t="shared" si="37"/>
        <v>794000</v>
      </c>
      <c r="J463" s="17">
        <f t="shared" si="38"/>
        <v>758000</v>
      </c>
      <c r="K463" s="17">
        <f t="shared" si="39"/>
        <v>-36000</v>
      </c>
    </row>
    <row r="464" spans="1:11">
      <c r="A464" s="14" t="str">
        <f>Employee_Data!A464</f>
        <v>EMP0463</v>
      </c>
      <c r="B464" s="15" t="str">
        <f>Employee_Data!B464</f>
        <v>Operations</v>
      </c>
      <c r="C464" s="16">
        <f>ROUND(Employee_Data!E464*1.05,-3)</f>
        <v>758000</v>
      </c>
      <c r="D464" s="16">
        <f>Employee_Data!E464</f>
        <v>722000</v>
      </c>
      <c r="E464" s="16">
        <f t="shared" si="35"/>
        <v>-36000</v>
      </c>
      <c r="F464" s="16">
        <f>ROUND(Employee_Data!G464*0.95,-3)</f>
        <v>21000</v>
      </c>
      <c r="G464" s="16">
        <f>Employee_Data!G464</f>
        <v>22000</v>
      </c>
      <c r="H464" s="16">
        <f t="shared" si="36"/>
        <v>1000</v>
      </c>
      <c r="I464" s="17">
        <f t="shared" si="37"/>
        <v>779000</v>
      </c>
      <c r="J464" s="17">
        <f t="shared" si="38"/>
        <v>744000</v>
      </c>
      <c r="K464" s="17">
        <f t="shared" si="39"/>
        <v>-35000</v>
      </c>
    </row>
    <row r="465" spans="1:11">
      <c r="A465" s="14" t="str">
        <f>Employee_Data!A465</f>
        <v>EMP0464</v>
      </c>
      <c r="B465" s="15" t="str">
        <f>Employee_Data!B465</f>
        <v>Operations</v>
      </c>
      <c r="C465" s="16">
        <f>ROUND(Employee_Data!E465*1.05,-3)</f>
        <v>899000</v>
      </c>
      <c r="D465" s="16">
        <f>Employee_Data!E465</f>
        <v>856000</v>
      </c>
      <c r="E465" s="16">
        <f t="shared" si="35"/>
        <v>-43000</v>
      </c>
      <c r="F465" s="16">
        <f>ROUND(Employee_Data!G465*0.95,-3)</f>
        <v>19000</v>
      </c>
      <c r="G465" s="16">
        <f>Employee_Data!G465</f>
        <v>20000</v>
      </c>
      <c r="H465" s="16">
        <f t="shared" si="36"/>
        <v>1000</v>
      </c>
      <c r="I465" s="17">
        <f t="shared" si="37"/>
        <v>918000</v>
      </c>
      <c r="J465" s="17">
        <f t="shared" si="38"/>
        <v>876000</v>
      </c>
      <c r="K465" s="17">
        <f t="shared" si="39"/>
        <v>-42000</v>
      </c>
    </row>
    <row r="466" spans="1:11">
      <c r="A466" s="14" t="str">
        <f>Employee_Data!A466</f>
        <v>EMP0465</v>
      </c>
      <c r="B466" s="15" t="str">
        <f>Employee_Data!B466</f>
        <v>Operations</v>
      </c>
      <c r="C466" s="16">
        <f>ROUND(Employee_Data!E466*1.05,-3)</f>
        <v>582000</v>
      </c>
      <c r="D466" s="16">
        <f>Employee_Data!E466</f>
        <v>554000</v>
      </c>
      <c r="E466" s="16">
        <f t="shared" si="35"/>
        <v>-28000</v>
      </c>
      <c r="F466" s="16">
        <f>ROUND(Employee_Data!G466*0.95,-3)</f>
        <v>17000</v>
      </c>
      <c r="G466" s="16">
        <f>Employee_Data!G466</f>
        <v>18000</v>
      </c>
      <c r="H466" s="16">
        <f t="shared" si="36"/>
        <v>1000</v>
      </c>
      <c r="I466" s="17">
        <f t="shared" si="37"/>
        <v>599000</v>
      </c>
      <c r="J466" s="17">
        <f t="shared" si="38"/>
        <v>572000</v>
      </c>
      <c r="K466" s="17">
        <f t="shared" si="39"/>
        <v>-27000</v>
      </c>
    </row>
    <row r="467" spans="1:11">
      <c r="A467" s="14" t="str">
        <f>Employee_Data!A467</f>
        <v>EMP0466</v>
      </c>
      <c r="B467" s="15" t="str">
        <f>Employee_Data!B467</f>
        <v>Operations</v>
      </c>
      <c r="C467" s="16">
        <f>ROUND(Employee_Data!E467*1.05,-3)</f>
        <v>1027000</v>
      </c>
      <c r="D467" s="16">
        <f>Employee_Data!E467</f>
        <v>978000</v>
      </c>
      <c r="E467" s="16">
        <f t="shared" si="35"/>
        <v>-49000</v>
      </c>
      <c r="F467" s="16">
        <f>ROUND(Employee_Data!G467*0.95,-3)</f>
        <v>33000</v>
      </c>
      <c r="G467" s="16">
        <f>Employee_Data!G467</f>
        <v>35000</v>
      </c>
      <c r="H467" s="16">
        <f t="shared" si="36"/>
        <v>2000</v>
      </c>
      <c r="I467" s="17">
        <f t="shared" si="37"/>
        <v>1060000</v>
      </c>
      <c r="J467" s="17">
        <f t="shared" si="38"/>
        <v>1013000</v>
      </c>
      <c r="K467" s="17">
        <f t="shared" si="39"/>
        <v>-47000</v>
      </c>
    </row>
    <row r="468" spans="1:11">
      <c r="A468" s="14" t="str">
        <f>Employee_Data!A468</f>
        <v>EMP0467</v>
      </c>
      <c r="B468" s="15" t="str">
        <f>Employee_Data!B468</f>
        <v>Operations</v>
      </c>
      <c r="C468" s="16">
        <f>ROUND(Employee_Data!E468*1.05,-3)</f>
        <v>820000</v>
      </c>
      <c r="D468" s="16">
        <f>Employee_Data!E468</f>
        <v>781000</v>
      </c>
      <c r="E468" s="16">
        <f t="shared" si="35"/>
        <v>-39000</v>
      </c>
      <c r="F468" s="16">
        <f>ROUND(Employee_Data!G468*0.95,-3)</f>
        <v>33000</v>
      </c>
      <c r="G468" s="16">
        <f>Employee_Data!G468</f>
        <v>35000</v>
      </c>
      <c r="H468" s="16">
        <f t="shared" si="36"/>
        <v>2000</v>
      </c>
      <c r="I468" s="17">
        <f t="shared" si="37"/>
        <v>853000</v>
      </c>
      <c r="J468" s="17">
        <f t="shared" si="38"/>
        <v>816000</v>
      </c>
      <c r="K468" s="17">
        <f t="shared" si="39"/>
        <v>-37000</v>
      </c>
    </row>
    <row r="469" spans="1:11">
      <c r="A469" s="14" t="str">
        <f>Employee_Data!A469</f>
        <v>EMP0468</v>
      </c>
      <c r="B469" s="15" t="str">
        <f>Employee_Data!B469</f>
        <v>Operations</v>
      </c>
      <c r="C469" s="16">
        <f>ROUND(Employee_Data!E469*1.05,-3)</f>
        <v>679000</v>
      </c>
      <c r="D469" s="16">
        <f>Employee_Data!E469</f>
        <v>647000</v>
      </c>
      <c r="E469" s="16">
        <f t="shared" si="35"/>
        <v>-32000</v>
      </c>
      <c r="F469" s="16">
        <f>ROUND(Employee_Data!G469*0.95,-3)</f>
        <v>27000</v>
      </c>
      <c r="G469" s="16">
        <f>Employee_Data!G469</f>
        <v>28000</v>
      </c>
      <c r="H469" s="16">
        <f t="shared" si="36"/>
        <v>1000</v>
      </c>
      <c r="I469" s="17">
        <f t="shared" si="37"/>
        <v>706000</v>
      </c>
      <c r="J469" s="17">
        <f t="shared" si="38"/>
        <v>675000</v>
      </c>
      <c r="K469" s="17">
        <f t="shared" si="39"/>
        <v>-31000</v>
      </c>
    </row>
    <row r="470" spans="1:11">
      <c r="A470" s="14" t="str">
        <f>Employee_Data!A470</f>
        <v>EMP0469</v>
      </c>
      <c r="B470" s="15" t="str">
        <f>Employee_Data!B470</f>
        <v>Operations</v>
      </c>
      <c r="C470" s="16">
        <f>ROUND(Employee_Data!E470*1.05,-3)</f>
        <v>688000</v>
      </c>
      <c r="D470" s="16">
        <f>Employee_Data!E470</f>
        <v>655000</v>
      </c>
      <c r="E470" s="16">
        <f t="shared" si="35"/>
        <v>-33000</v>
      </c>
      <c r="F470" s="16">
        <f>ROUND(Employee_Data!G470*0.95,-3)</f>
        <v>21000</v>
      </c>
      <c r="G470" s="16">
        <f>Employee_Data!G470</f>
        <v>22000</v>
      </c>
      <c r="H470" s="16">
        <f t="shared" si="36"/>
        <v>1000</v>
      </c>
      <c r="I470" s="17">
        <f t="shared" si="37"/>
        <v>709000</v>
      </c>
      <c r="J470" s="17">
        <f t="shared" si="38"/>
        <v>677000</v>
      </c>
      <c r="K470" s="17">
        <f t="shared" si="39"/>
        <v>-32000</v>
      </c>
    </row>
    <row r="471" spans="1:11">
      <c r="A471" s="14" t="str">
        <f>Employee_Data!A471</f>
        <v>EMP0470</v>
      </c>
      <c r="B471" s="15" t="str">
        <f>Employee_Data!B471</f>
        <v>Operations</v>
      </c>
      <c r="C471" s="16">
        <f>ROUND(Employee_Data!E471*1.05,-3)</f>
        <v>817000</v>
      </c>
      <c r="D471" s="16">
        <f>Employee_Data!E471</f>
        <v>778000</v>
      </c>
      <c r="E471" s="16">
        <f t="shared" si="35"/>
        <v>-39000</v>
      </c>
      <c r="F471" s="16">
        <f>ROUND(Employee_Data!G471*0.95,-3)</f>
        <v>33000</v>
      </c>
      <c r="G471" s="16">
        <f>Employee_Data!G471</f>
        <v>35000</v>
      </c>
      <c r="H471" s="16">
        <f t="shared" si="36"/>
        <v>2000</v>
      </c>
      <c r="I471" s="17">
        <f t="shared" si="37"/>
        <v>850000</v>
      </c>
      <c r="J471" s="17">
        <f t="shared" si="38"/>
        <v>813000</v>
      </c>
      <c r="K471" s="17">
        <f t="shared" si="39"/>
        <v>-37000</v>
      </c>
    </row>
    <row r="472" spans="1:11">
      <c r="A472" s="14" t="str">
        <f>Employee_Data!A472</f>
        <v>EMP0471</v>
      </c>
      <c r="B472" s="15" t="str">
        <f>Employee_Data!B472</f>
        <v>Operations</v>
      </c>
      <c r="C472" s="16">
        <f>ROUND(Employee_Data!E472*1.05,-3)</f>
        <v>790000</v>
      </c>
      <c r="D472" s="16">
        <f>Employee_Data!E472</f>
        <v>752000</v>
      </c>
      <c r="E472" s="16">
        <f t="shared" si="35"/>
        <v>-38000</v>
      </c>
      <c r="F472" s="16">
        <f>ROUND(Employee_Data!G472*0.95,-3)</f>
        <v>29000</v>
      </c>
      <c r="G472" s="16">
        <f>Employee_Data!G472</f>
        <v>30000</v>
      </c>
      <c r="H472" s="16">
        <f t="shared" si="36"/>
        <v>1000</v>
      </c>
      <c r="I472" s="17">
        <f t="shared" si="37"/>
        <v>819000</v>
      </c>
      <c r="J472" s="17">
        <f t="shared" si="38"/>
        <v>782000</v>
      </c>
      <c r="K472" s="17">
        <f t="shared" si="39"/>
        <v>-37000</v>
      </c>
    </row>
    <row r="473" spans="1:11">
      <c r="A473" s="14" t="str">
        <f>Employee_Data!A473</f>
        <v>EMP0472</v>
      </c>
      <c r="B473" s="15" t="str">
        <f>Employee_Data!B473</f>
        <v>Operations</v>
      </c>
      <c r="C473" s="16">
        <f>ROUND(Employee_Data!E473*1.05,-3)</f>
        <v>781000</v>
      </c>
      <c r="D473" s="16">
        <f>Employee_Data!E473</f>
        <v>744000</v>
      </c>
      <c r="E473" s="16">
        <f t="shared" si="35"/>
        <v>-37000</v>
      </c>
      <c r="F473" s="16">
        <f>ROUND(Employee_Data!G473*0.95,-3)</f>
        <v>29000</v>
      </c>
      <c r="G473" s="16">
        <f>Employee_Data!G473</f>
        <v>30000</v>
      </c>
      <c r="H473" s="16">
        <f t="shared" si="36"/>
        <v>1000</v>
      </c>
      <c r="I473" s="17">
        <f t="shared" si="37"/>
        <v>810000</v>
      </c>
      <c r="J473" s="17">
        <f t="shared" si="38"/>
        <v>774000</v>
      </c>
      <c r="K473" s="17">
        <f t="shared" si="39"/>
        <v>-36000</v>
      </c>
    </row>
    <row r="474" spans="1:11">
      <c r="A474" s="14" t="str">
        <f>Employee_Data!A474</f>
        <v>EMP0473</v>
      </c>
      <c r="B474" s="15" t="str">
        <f>Employee_Data!B474</f>
        <v>Operations</v>
      </c>
      <c r="C474" s="16">
        <f>ROUND(Employee_Data!E474*1.05,-3)</f>
        <v>695000</v>
      </c>
      <c r="D474" s="16">
        <f>Employee_Data!E474</f>
        <v>662000</v>
      </c>
      <c r="E474" s="16">
        <f t="shared" si="35"/>
        <v>-33000</v>
      </c>
      <c r="F474" s="16">
        <f>ROUND(Employee_Data!G474*0.95,-3)</f>
        <v>17000</v>
      </c>
      <c r="G474" s="16">
        <f>Employee_Data!G474</f>
        <v>18000</v>
      </c>
      <c r="H474" s="16">
        <f t="shared" si="36"/>
        <v>1000</v>
      </c>
      <c r="I474" s="17">
        <f t="shared" si="37"/>
        <v>712000</v>
      </c>
      <c r="J474" s="17">
        <f t="shared" si="38"/>
        <v>680000</v>
      </c>
      <c r="K474" s="17">
        <f t="shared" si="39"/>
        <v>-32000</v>
      </c>
    </row>
    <row r="475" spans="1:11">
      <c r="A475" s="14" t="str">
        <f>Employee_Data!A475</f>
        <v>EMP0474</v>
      </c>
      <c r="B475" s="15" t="str">
        <f>Employee_Data!B475</f>
        <v>Operations</v>
      </c>
      <c r="C475" s="16">
        <f>ROUND(Employee_Data!E475*1.05,-3)</f>
        <v>727000</v>
      </c>
      <c r="D475" s="16">
        <f>Employee_Data!E475</f>
        <v>692000</v>
      </c>
      <c r="E475" s="16">
        <f t="shared" si="35"/>
        <v>-35000</v>
      </c>
      <c r="F475" s="16">
        <f>ROUND(Employee_Data!G475*0.95,-3)</f>
        <v>21000</v>
      </c>
      <c r="G475" s="16">
        <f>Employee_Data!G475</f>
        <v>22000</v>
      </c>
      <c r="H475" s="16">
        <f t="shared" si="36"/>
        <v>1000</v>
      </c>
      <c r="I475" s="17">
        <f t="shared" si="37"/>
        <v>748000</v>
      </c>
      <c r="J475" s="17">
        <f t="shared" si="38"/>
        <v>714000</v>
      </c>
      <c r="K475" s="17">
        <f t="shared" si="39"/>
        <v>-34000</v>
      </c>
    </row>
    <row r="476" spans="1:11">
      <c r="A476" s="14" t="str">
        <f>Employee_Data!A476</f>
        <v>EMP0475</v>
      </c>
      <c r="B476" s="15" t="str">
        <f>Employee_Data!B476</f>
        <v>Operations</v>
      </c>
      <c r="C476" s="16">
        <f>ROUND(Employee_Data!E476*1.05,-3)</f>
        <v>687000</v>
      </c>
      <c r="D476" s="16">
        <f>Employee_Data!E476</f>
        <v>654000</v>
      </c>
      <c r="E476" s="16">
        <f t="shared" si="35"/>
        <v>-33000</v>
      </c>
      <c r="F476" s="16">
        <f>ROUND(Employee_Data!G476*0.95,-3)</f>
        <v>27000</v>
      </c>
      <c r="G476" s="16">
        <f>Employee_Data!G476</f>
        <v>28000</v>
      </c>
      <c r="H476" s="16">
        <f t="shared" si="36"/>
        <v>1000</v>
      </c>
      <c r="I476" s="17">
        <f t="shared" si="37"/>
        <v>714000</v>
      </c>
      <c r="J476" s="17">
        <f t="shared" si="38"/>
        <v>682000</v>
      </c>
      <c r="K476" s="17">
        <f t="shared" si="39"/>
        <v>-32000</v>
      </c>
    </row>
    <row r="477" spans="1:11">
      <c r="A477" s="14" t="str">
        <f>Employee_Data!A477</f>
        <v>EMP0476</v>
      </c>
      <c r="B477" s="15" t="str">
        <f>Employee_Data!B477</f>
        <v>Operations</v>
      </c>
      <c r="C477" s="16">
        <f>ROUND(Employee_Data!E477*1.05,-3)</f>
        <v>756000</v>
      </c>
      <c r="D477" s="16">
        <f>Employee_Data!E477</f>
        <v>720000</v>
      </c>
      <c r="E477" s="16">
        <f t="shared" si="35"/>
        <v>-36000</v>
      </c>
      <c r="F477" s="16">
        <f>ROUND(Employee_Data!G477*0.95,-3)</f>
        <v>33000</v>
      </c>
      <c r="G477" s="16">
        <f>Employee_Data!G477</f>
        <v>35000</v>
      </c>
      <c r="H477" s="16">
        <f t="shared" si="36"/>
        <v>2000</v>
      </c>
      <c r="I477" s="17">
        <f t="shared" si="37"/>
        <v>789000</v>
      </c>
      <c r="J477" s="17">
        <f t="shared" si="38"/>
        <v>755000</v>
      </c>
      <c r="K477" s="17">
        <f t="shared" si="39"/>
        <v>-34000</v>
      </c>
    </row>
    <row r="478" spans="1:11">
      <c r="A478" s="14" t="str">
        <f>Employee_Data!A478</f>
        <v>EMP0477</v>
      </c>
      <c r="B478" s="15" t="str">
        <f>Employee_Data!B478</f>
        <v>Operations</v>
      </c>
      <c r="C478" s="16">
        <f>ROUND(Employee_Data!E478*1.05,-3)</f>
        <v>754000</v>
      </c>
      <c r="D478" s="16">
        <f>Employee_Data!E478</f>
        <v>718000</v>
      </c>
      <c r="E478" s="16">
        <f t="shared" si="35"/>
        <v>-36000</v>
      </c>
      <c r="F478" s="16">
        <f>ROUND(Employee_Data!G478*0.95,-3)</f>
        <v>17000</v>
      </c>
      <c r="G478" s="16">
        <f>Employee_Data!G478</f>
        <v>18000</v>
      </c>
      <c r="H478" s="16">
        <f t="shared" si="36"/>
        <v>1000</v>
      </c>
      <c r="I478" s="17">
        <f t="shared" si="37"/>
        <v>771000</v>
      </c>
      <c r="J478" s="17">
        <f t="shared" si="38"/>
        <v>736000</v>
      </c>
      <c r="K478" s="17">
        <f t="shared" si="39"/>
        <v>-35000</v>
      </c>
    </row>
    <row r="479" spans="1:11">
      <c r="A479" s="14" t="str">
        <f>Employee_Data!A479</f>
        <v>EMP0478</v>
      </c>
      <c r="B479" s="15" t="str">
        <f>Employee_Data!B479</f>
        <v>Operations</v>
      </c>
      <c r="C479" s="16">
        <f>ROUND(Employee_Data!E479*1.05,-3)</f>
        <v>600000</v>
      </c>
      <c r="D479" s="16">
        <f>Employee_Data!E479</f>
        <v>571000</v>
      </c>
      <c r="E479" s="16">
        <f t="shared" si="35"/>
        <v>-29000</v>
      </c>
      <c r="F479" s="16">
        <f>ROUND(Employee_Data!G479*0.95,-3)</f>
        <v>27000</v>
      </c>
      <c r="G479" s="16">
        <f>Employee_Data!G479</f>
        <v>28000</v>
      </c>
      <c r="H479" s="16">
        <f t="shared" si="36"/>
        <v>1000</v>
      </c>
      <c r="I479" s="17">
        <f t="shared" si="37"/>
        <v>627000</v>
      </c>
      <c r="J479" s="17">
        <f t="shared" si="38"/>
        <v>599000</v>
      </c>
      <c r="K479" s="17">
        <f t="shared" si="39"/>
        <v>-28000</v>
      </c>
    </row>
    <row r="480" spans="1:11">
      <c r="A480" s="14" t="str">
        <f>Employee_Data!A480</f>
        <v>EMP0479</v>
      </c>
      <c r="B480" s="15" t="str">
        <f>Employee_Data!B480</f>
        <v>Operations</v>
      </c>
      <c r="C480" s="16">
        <f>ROUND(Employee_Data!E480*1.05,-3)</f>
        <v>834000</v>
      </c>
      <c r="D480" s="16">
        <f>Employee_Data!E480</f>
        <v>794000</v>
      </c>
      <c r="E480" s="16">
        <f t="shared" si="35"/>
        <v>-40000</v>
      </c>
      <c r="F480" s="16">
        <f>ROUND(Employee_Data!G480*0.95,-3)</f>
        <v>29000</v>
      </c>
      <c r="G480" s="16">
        <f>Employee_Data!G480</f>
        <v>30000</v>
      </c>
      <c r="H480" s="16">
        <f t="shared" si="36"/>
        <v>1000</v>
      </c>
      <c r="I480" s="17">
        <f t="shared" si="37"/>
        <v>863000</v>
      </c>
      <c r="J480" s="17">
        <f t="shared" si="38"/>
        <v>824000</v>
      </c>
      <c r="K480" s="17">
        <f t="shared" si="39"/>
        <v>-39000</v>
      </c>
    </row>
    <row r="481" spans="1:11">
      <c r="A481" s="14" t="str">
        <f>Employee_Data!A481</f>
        <v>EMP0480</v>
      </c>
      <c r="B481" s="15" t="str">
        <f>Employee_Data!B481</f>
        <v>Operations</v>
      </c>
      <c r="C481" s="16">
        <f>ROUND(Employee_Data!E481*1.05,-3)</f>
        <v>856000</v>
      </c>
      <c r="D481" s="16">
        <f>Employee_Data!E481</f>
        <v>815000</v>
      </c>
      <c r="E481" s="16">
        <f t="shared" si="35"/>
        <v>-41000</v>
      </c>
      <c r="F481" s="16">
        <f>ROUND(Employee_Data!G481*0.95,-3)</f>
        <v>19000</v>
      </c>
      <c r="G481" s="16">
        <f>Employee_Data!G481</f>
        <v>20000</v>
      </c>
      <c r="H481" s="16">
        <f t="shared" si="36"/>
        <v>1000</v>
      </c>
      <c r="I481" s="17">
        <f t="shared" si="37"/>
        <v>875000</v>
      </c>
      <c r="J481" s="17">
        <f t="shared" si="38"/>
        <v>835000</v>
      </c>
      <c r="K481" s="17">
        <f t="shared" si="39"/>
        <v>-40000</v>
      </c>
    </row>
    <row r="482" spans="1:11">
      <c r="A482" s="14" t="str">
        <f>Employee_Data!A482</f>
        <v>EMP0481</v>
      </c>
      <c r="B482" s="15" t="str">
        <f>Employee_Data!B482</f>
        <v>Operations</v>
      </c>
      <c r="C482" s="16">
        <f>ROUND(Employee_Data!E482*1.05,-3)</f>
        <v>782000</v>
      </c>
      <c r="D482" s="16">
        <f>Employee_Data!E482</f>
        <v>745000</v>
      </c>
      <c r="E482" s="16">
        <f t="shared" si="35"/>
        <v>-37000</v>
      </c>
      <c r="F482" s="16">
        <f>ROUND(Employee_Data!G482*0.95,-3)</f>
        <v>33000</v>
      </c>
      <c r="G482" s="16">
        <f>Employee_Data!G482</f>
        <v>35000</v>
      </c>
      <c r="H482" s="16">
        <f t="shared" si="36"/>
        <v>2000</v>
      </c>
      <c r="I482" s="17">
        <f t="shared" si="37"/>
        <v>815000</v>
      </c>
      <c r="J482" s="17">
        <f t="shared" si="38"/>
        <v>780000</v>
      </c>
      <c r="K482" s="17">
        <f t="shared" si="39"/>
        <v>-35000</v>
      </c>
    </row>
    <row r="483" spans="1:11">
      <c r="A483" s="14" t="str">
        <f>Employee_Data!A483</f>
        <v>EMP0482</v>
      </c>
      <c r="B483" s="15" t="str">
        <f>Employee_Data!B483</f>
        <v>Operations</v>
      </c>
      <c r="C483" s="16">
        <f>ROUND(Employee_Data!E483*1.05,-3)</f>
        <v>885000</v>
      </c>
      <c r="D483" s="16">
        <f>Employee_Data!E483</f>
        <v>843000</v>
      </c>
      <c r="E483" s="16">
        <f t="shared" si="35"/>
        <v>-42000</v>
      </c>
      <c r="F483" s="16">
        <f>ROUND(Employee_Data!G483*0.95,-3)</f>
        <v>21000</v>
      </c>
      <c r="G483" s="16">
        <f>Employee_Data!G483</f>
        <v>22000</v>
      </c>
      <c r="H483" s="16">
        <f t="shared" si="36"/>
        <v>1000</v>
      </c>
      <c r="I483" s="17">
        <f t="shared" si="37"/>
        <v>906000</v>
      </c>
      <c r="J483" s="17">
        <f t="shared" si="38"/>
        <v>865000</v>
      </c>
      <c r="K483" s="17">
        <f t="shared" si="39"/>
        <v>-41000</v>
      </c>
    </row>
    <row r="484" spans="1:11">
      <c r="A484" s="14" t="str">
        <f>Employee_Data!A484</f>
        <v>EMP0483</v>
      </c>
      <c r="B484" s="15" t="str">
        <f>Employee_Data!B484</f>
        <v>Operations</v>
      </c>
      <c r="C484" s="16">
        <f>ROUND(Employee_Data!E484*1.05,-3)</f>
        <v>1115000</v>
      </c>
      <c r="D484" s="16">
        <f>Employee_Data!E484</f>
        <v>1062000</v>
      </c>
      <c r="E484" s="16">
        <f t="shared" si="35"/>
        <v>-53000</v>
      </c>
      <c r="F484" s="16">
        <f>ROUND(Employee_Data!G484*0.95,-3)</f>
        <v>33000</v>
      </c>
      <c r="G484" s="16">
        <f>Employee_Data!G484</f>
        <v>35000</v>
      </c>
      <c r="H484" s="16">
        <f t="shared" si="36"/>
        <v>2000</v>
      </c>
      <c r="I484" s="17">
        <f t="shared" si="37"/>
        <v>1148000</v>
      </c>
      <c r="J484" s="17">
        <f t="shared" si="38"/>
        <v>1097000</v>
      </c>
      <c r="K484" s="17">
        <f t="shared" si="39"/>
        <v>-51000</v>
      </c>
    </row>
    <row r="485" spans="1:11">
      <c r="A485" s="14" t="str">
        <f>Employee_Data!A485</f>
        <v>EMP0484</v>
      </c>
      <c r="B485" s="15" t="str">
        <f>Employee_Data!B485</f>
        <v>Operations</v>
      </c>
      <c r="C485" s="16">
        <f>ROUND(Employee_Data!E485*1.05,-3)</f>
        <v>719000</v>
      </c>
      <c r="D485" s="16">
        <f>Employee_Data!E485</f>
        <v>685000</v>
      </c>
      <c r="E485" s="16">
        <f t="shared" si="35"/>
        <v>-34000</v>
      </c>
      <c r="F485" s="16">
        <f>ROUND(Employee_Data!G485*0.95,-3)</f>
        <v>14000</v>
      </c>
      <c r="G485" s="16">
        <f>Employee_Data!G485</f>
        <v>15000</v>
      </c>
      <c r="H485" s="16">
        <f t="shared" si="36"/>
        <v>1000</v>
      </c>
      <c r="I485" s="17">
        <f t="shared" si="37"/>
        <v>733000</v>
      </c>
      <c r="J485" s="17">
        <f t="shared" si="38"/>
        <v>700000</v>
      </c>
      <c r="K485" s="17">
        <f t="shared" si="39"/>
        <v>-33000</v>
      </c>
    </row>
    <row r="486" spans="1:11">
      <c r="A486" s="14" t="str">
        <f>Employee_Data!A486</f>
        <v>EMP0485</v>
      </c>
      <c r="B486" s="15" t="str">
        <f>Employee_Data!B486</f>
        <v>Operations</v>
      </c>
      <c r="C486" s="16">
        <f>ROUND(Employee_Data!E486*1.05,-3)</f>
        <v>571000</v>
      </c>
      <c r="D486" s="16">
        <f>Employee_Data!E486</f>
        <v>544000</v>
      </c>
      <c r="E486" s="16">
        <f t="shared" si="35"/>
        <v>-27000</v>
      </c>
      <c r="F486" s="16">
        <f>ROUND(Employee_Data!G486*0.95,-3)</f>
        <v>24000</v>
      </c>
      <c r="G486" s="16">
        <f>Employee_Data!G486</f>
        <v>25000</v>
      </c>
      <c r="H486" s="16">
        <f t="shared" si="36"/>
        <v>1000</v>
      </c>
      <c r="I486" s="17">
        <f t="shared" si="37"/>
        <v>595000</v>
      </c>
      <c r="J486" s="17">
        <f t="shared" si="38"/>
        <v>569000</v>
      </c>
      <c r="K486" s="17">
        <f t="shared" si="39"/>
        <v>-26000</v>
      </c>
    </row>
    <row r="487" spans="1:11">
      <c r="A487" s="14" t="str">
        <f>Employee_Data!A487</f>
        <v>EMP0486</v>
      </c>
      <c r="B487" s="15" t="str">
        <f>Employee_Data!B487</f>
        <v>Operations</v>
      </c>
      <c r="C487" s="16">
        <f>ROUND(Employee_Data!E487*1.05,-3)</f>
        <v>894000</v>
      </c>
      <c r="D487" s="16">
        <f>Employee_Data!E487</f>
        <v>851000</v>
      </c>
      <c r="E487" s="16">
        <f t="shared" si="35"/>
        <v>-43000</v>
      </c>
      <c r="F487" s="16">
        <f>ROUND(Employee_Data!G487*0.95,-3)</f>
        <v>17000</v>
      </c>
      <c r="G487" s="16">
        <f>Employee_Data!G487</f>
        <v>18000</v>
      </c>
      <c r="H487" s="16">
        <f t="shared" si="36"/>
        <v>1000</v>
      </c>
      <c r="I487" s="17">
        <f t="shared" si="37"/>
        <v>911000</v>
      </c>
      <c r="J487" s="17">
        <f t="shared" si="38"/>
        <v>869000</v>
      </c>
      <c r="K487" s="17">
        <f t="shared" si="39"/>
        <v>-42000</v>
      </c>
    </row>
    <row r="488" spans="1:11">
      <c r="A488" s="14" t="str">
        <f>Employee_Data!A488</f>
        <v>EMP0487</v>
      </c>
      <c r="B488" s="15" t="str">
        <f>Employee_Data!B488</f>
        <v>Operations</v>
      </c>
      <c r="C488" s="16">
        <f>ROUND(Employee_Data!E488*1.05,-3)</f>
        <v>643000</v>
      </c>
      <c r="D488" s="16">
        <f>Employee_Data!E488</f>
        <v>612000</v>
      </c>
      <c r="E488" s="16">
        <f t="shared" si="35"/>
        <v>-31000</v>
      </c>
      <c r="F488" s="16">
        <f>ROUND(Employee_Data!G488*0.95,-3)</f>
        <v>14000</v>
      </c>
      <c r="G488" s="16">
        <f>Employee_Data!G488</f>
        <v>15000</v>
      </c>
      <c r="H488" s="16">
        <f t="shared" si="36"/>
        <v>1000</v>
      </c>
      <c r="I488" s="17">
        <f t="shared" si="37"/>
        <v>657000</v>
      </c>
      <c r="J488" s="17">
        <f t="shared" si="38"/>
        <v>627000</v>
      </c>
      <c r="K488" s="17">
        <f t="shared" si="39"/>
        <v>-30000</v>
      </c>
    </row>
    <row r="489" spans="1:11">
      <c r="A489" s="14" t="str">
        <f>Employee_Data!A489</f>
        <v>EMP0488</v>
      </c>
      <c r="B489" s="15" t="str">
        <f>Employee_Data!B489</f>
        <v>Operations</v>
      </c>
      <c r="C489" s="16">
        <f>ROUND(Employee_Data!E489*1.05,-3)</f>
        <v>796000</v>
      </c>
      <c r="D489" s="16">
        <f>Employee_Data!E489</f>
        <v>758000</v>
      </c>
      <c r="E489" s="16">
        <f t="shared" si="35"/>
        <v>-38000</v>
      </c>
      <c r="F489" s="16">
        <f>ROUND(Employee_Data!G489*0.95,-3)</f>
        <v>21000</v>
      </c>
      <c r="G489" s="16">
        <f>Employee_Data!G489</f>
        <v>22000</v>
      </c>
      <c r="H489" s="16">
        <f t="shared" si="36"/>
        <v>1000</v>
      </c>
      <c r="I489" s="17">
        <f t="shared" si="37"/>
        <v>817000</v>
      </c>
      <c r="J489" s="17">
        <f t="shared" si="38"/>
        <v>780000</v>
      </c>
      <c r="K489" s="17">
        <f t="shared" si="39"/>
        <v>-37000</v>
      </c>
    </row>
    <row r="490" spans="1:11">
      <c r="A490" s="14" t="str">
        <f>Employee_Data!A490</f>
        <v>EMP0489</v>
      </c>
      <c r="B490" s="15" t="str">
        <f>Employee_Data!B490</f>
        <v>Operations</v>
      </c>
      <c r="C490" s="16">
        <f>ROUND(Employee_Data!E490*1.05,-3)</f>
        <v>1311000</v>
      </c>
      <c r="D490" s="16">
        <f>Employee_Data!E490</f>
        <v>1249000</v>
      </c>
      <c r="E490" s="16">
        <f t="shared" si="35"/>
        <v>-62000</v>
      </c>
      <c r="F490" s="16">
        <f>ROUND(Employee_Data!G490*0.95,-3)</f>
        <v>17000</v>
      </c>
      <c r="G490" s="16">
        <f>Employee_Data!G490</f>
        <v>18000</v>
      </c>
      <c r="H490" s="16">
        <f t="shared" si="36"/>
        <v>1000</v>
      </c>
      <c r="I490" s="17">
        <f t="shared" si="37"/>
        <v>1328000</v>
      </c>
      <c r="J490" s="17">
        <f t="shared" si="38"/>
        <v>1267000</v>
      </c>
      <c r="K490" s="17">
        <f t="shared" si="39"/>
        <v>-61000</v>
      </c>
    </row>
    <row r="491" spans="1:11">
      <c r="A491" s="14" t="str">
        <f>Employee_Data!A491</f>
        <v>EMP0490</v>
      </c>
      <c r="B491" s="15" t="str">
        <f>Employee_Data!B491</f>
        <v>Operations</v>
      </c>
      <c r="C491" s="16">
        <f>ROUND(Employee_Data!E491*1.05,-3)</f>
        <v>1405000</v>
      </c>
      <c r="D491" s="16">
        <f>Employee_Data!E491</f>
        <v>1338000</v>
      </c>
      <c r="E491" s="16">
        <f t="shared" si="35"/>
        <v>-67000</v>
      </c>
      <c r="F491" s="16">
        <f>ROUND(Employee_Data!G491*0.95,-3)</f>
        <v>27000</v>
      </c>
      <c r="G491" s="16">
        <f>Employee_Data!G491</f>
        <v>28000</v>
      </c>
      <c r="H491" s="16">
        <f t="shared" si="36"/>
        <v>1000</v>
      </c>
      <c r="I491" s="17">
        <f t="shared" si="37"/>
        <v>1432000</v>
      </c>
      <c r="J491" s="17">
        <f t="shared" si="38"/>
        <v>1366000</v>
      </c>
      <c r="K491" s="17">
        <f t="shared" si="39"/>
        <v>-66000</v>
      </c>
    </row>
    <row r="492" spans="1:11">
      <c r="A492" s="14" t="str">
        <f>Employee_Data!A492</f>
        <v>EMP0491</v>
      </c>
      <c r="B492" s="15" t="str">
        <f>Employee_Data!B492</f>
        <v>Operations</v>
      </c>
      <c r="C492" s="16">
        <f>ROUND(Employee_Data!E492*1.05,-3)</f>
        <v>731000</v>
      </c>
      <c r="D492" s="16">
        <f>Employee_Data!E492</f>
        <v>696000</v>
      </c>
      <c r="E492" s="16">
        <f t="shared" si="35"/>
        <v>-35000</v>
      </c>
      <c r="F492" s="16">
        <f>ROUND(Employee_Data!G492*0.95,-3)</f>
        <v>21000</v>
      </c>
      <c r="G492" s="16">
        <f>Employee_Data!G492</f>
        <v>22000</v>
      </c>
      <c r="H492" s="16">
        <f t="shared" si="36"/>
        <v>1000</v>
      </c>
      <c r="I492" s="17">
        <f t="shared" si="37"/>
        <v>752000</v>
      </c>
      <c r="J492" s="17">
        <f t="shared" si="38"/>
        <v>718000</v>
      </c>
      <c r="K492" s="17">
        <f t="shared" si="39"/>
        <v>-34000</v>
      </c>
    </row>
    <row r="493" spans="1:11">
      <c r="A493" s="14" t="str">
        <f>Employee_Data!A493</f>
        <v>EMP0492</v>
      </c>
      <c r="B493" s="15" t="str">
        <f>Employee_Data!B493</f>
        <v>Operations</v>
      </c>
      <c r="C493" s="16">
        <f>ROUND(Employee_Data!E493*1.05,-3)</f>
        <v>732000</v>
      </c>
      <c r="D493" s="16">
        <f>Employee_Data!E493</f>
        <v>697000</v>
      </c>
      <c r="E493" s="16">
        <f t="shared" si="35"/>
        <v>-35000</v>
      </c>
      <c r="F493" s="16">
        <f>ROUND(Employee_Data!G493*0.95,-3)</f>
        <v>19000</v>
      </c>
      <c r="G493" s="16">
        <f>Employee_Data!G493</f>
        <v>20000</v>
      </c>
      <c r="H493" s="16">
        <f t="shared" si="36"/>
        <v>1000</v>
      </c>
      <c r="I493" s="17">
        <f t="shared" si="37"/>
        <v>751000</v>
      </c>
      <c r="J493" s="17">
        <f t="shared" si="38"/>
        <v>717000</v>
      </c>
      <c r="K493" s="17">
        <f t="shared" si="39"/>
        <v>-34000</v>
      </c>
    </row>
    <row r="494" spans="1:11">
      <c r="A494" s="14" t="str">
        <f>Employee_Data!A494</f>
        <v>EMP0493</v>
      </c>
      <c r="B494" s="15" t="str">
        <f>Employee_Data!B494</f>
        <v>Operations</v>
      </c>
      <c r="C494" s="16">
        <f>ROUND(Employee_Data!E494*1.05,-3)</f>
        <v>709000</v>
      </c>
      <c r="D494" s="16">
        <f>Employee_Data!E494</f>
        <v>675000</v>
      </c>
      <c r="E494" s="16">
        <f t="shared" si="35"/>
        <v>-34000</v>
      </c>
      <c r="F494" s="16">
        <f>ROUND(Employee_Data!G494*0.95,-3)</f>
        <v>17000</v>
      </c>
      <c r="G494" s="16">
        <f>Employee_Data!G494</f>
        <v>18000</v>
      </c>
      <c r="H494" s="16">
        <f t="shared" si="36"/>
        <v>1000</v>
      </c>
      <c r="I494" s="17">
        <f t="shared" si="37"/>
        <v>726000</v>
      </c>
      <c r="J494" s="17">
        <f t="shared" si="38"/>
        <v>693000</v>
      </c>
      <c r="K494" s="17">
        <f t="shared" si="39"/>
        <v>-33000</v>
      </c>
    </row>
    <row r="495" spans="1:11">
      <c r="A495" s="14" t="str">
        <f>Employee_Data!A495</f>
        <v>EMP0494</v>
      </c>
      <c r="B495" s="15" t="str">
        <f>Employee_Data!B495</f>
        <v>Operations</v>
      </c>
      <c r="C495" s="16">
        <f>ROUND(Employee_Data!E495*1.05,-3)</f>
        <v>708000</v>
      </c>
      <c r="D495" s="16">
        <f>Employee_Data!E495</f>
        <v>674000</v>
      </c>
      <c r="E495" s="16">
        <f t="shared" si="35"/>
        <v>-34000</v>
      </c>
      <c r="F495" s="16">
        <f>ROUND(Employee_Data!G495*0.95,-3)</f>
        <v>24000</v>
      </c>
      <c r="G495" s="16">
        <f>Employee_Data!G495</f>
        <v>25000</v>
      </c>
      <c r="H495" s="16">
        <f t="shared" si="36"/>
        <v>1000</v>
      </c>
      <c r="I495" s="17">
        <f t="shared" si="37"/>
        <v>732000</v>
      </c>
      <c r="J495" s="17">
        <f t="shared" si="38"/>
        <v>699000</v>
      </c>
      <c r="K495" s="17">
        <f t="shared" si="39"/>
        <v>-33000</v>
      </c>
    </row>
    <row r="496" spans="1:11">
      <c r="A496" s="14" t="str">
        <f>Employee_Data!A496</f>
        <v>EMP0495</v>
      </c>
      <c r="B496" s="15" t="str">
        <f>Employee_Data!B496</f>
        <v>Operations</v>
      </c>
      <c r="C496" s="16">
        <f>ROUND(Employee_Data!E496*1.05,-3)</f>
        <v>687000</v>
      </c>
      <c r="D496" s="16">
        <f>Employee_Data!E496</f>
        <v>654000</v>
      </c>
      <c r="E496" s="16">
        <f t="shared" si="35"/>
        <v>-33000</v>
      </c>
      <c r="F496" s="16">
        <f>ROUND(Employee_Data!G496*0.95,-3)</f>
        <v>27000</v>
      </c>
      <c r="G496" s="16">
        <f>Employee_Data!G496</f>
        <v>28000</v>
      </c>
      <c r="H496" s="16">
        <f t="shared" si="36"/>
        <v>1000</v>
      </c>
      <c r="I496" s="17">
        <f t="shared" si="37"/>
        <v>714000</v>
      </c>
      <c r="J496" s="17">
        <f t="shared" si="38"/>
        <v>682000</v>
      </c>
      <c r="K496" s="17">
        <f t="shared" si="39"/>
        <v>-32000</v>
      </c>
    </row>
    <row r="497" spans="1:11">
      <c r="A497" s="14" t="str">
        <f>Employee_Data!A497</f>
        <v>EMP0496</v>
      </c>
      <c r="B497" s="15" t="str">
        <f>Employee_Data!B497</f>
        <v>Operations</v>
      </c>
      <c r="C497" s="16">
        <f>ROUND(Employee_Data!E497*1.05,-3)</f>
        <v>749000</v>
      </c>
      <c r="D497" s="16">
        <f>Employee_Data!E497</f>
        <v>713000</v>
      </c>
      <c r="E497" s="16">
        <f t="shared" si="35"/>
        <v>-36000</v>
      </c>
      <c r="F497" s="16">
        <f>ROUND(Employee_Data!G497*0.95,-3)</f>
        <v>24000</v>
      </c>
      <c r="G497" s="16">
        <f>Employee_Data!G497</f>
        <v>25000</v>
      </c>
      <c r="H497" s="16">
        <f t="shared" si="36"/>
        <v>1000</v>
      </c>
      <c r="I497" s="17">
        <f t="shared" si="37"/>
        <v>773000</v>
      </c>
      <c r="J497" s="17">
        <f t="shared" si="38"/>
        <v>738000</v>
      </c>
      <c r="K497" s="17">
        <f t="shared" si="39"/>
        <v>-35000</v>
      </c>
    </row>
    <row r="498" spans="1:11">
      <c r="A498" s="14" t="str">
        <f>Employee_Data!A498</f>
        <v>EMP0497</v>
      </c>
      <c r="B498" s="15" t="str">
        <f>Employee_Data!B498</f>
        <v>Operations</v>
      </c>
      <c r="C498" s="16">
        <f>ROUND(Employee_Data!E498*1.05,-3)</f>
        <v>770000</v>
      </c>
      <c r="D498" s="16">
        <f>Employee_Data!E498</f>
        <v>733000</v>
      </c>
      <c r="E498" s="16">
        <f t="shared" si="35"/>
        <v>-37000</v>
      </c>
      <c r="F498" s="16">
        <f>ROUND(Employee_Data!G498*0.95,-3)</f>
        <v>17000</v>
      </c>
      <c r="G498" s="16">
        <f>Employee_Data!G498</f>
        <v>18000</v>
      </c>
      <c r="H498" s="16">
        <f t="shared" si="36"/>
        <v>1000</v>
      </c>
      <c r="I498" s="17">
        <f t="shared" si="37"/>
        <v>787000</v>
      </c>
      <c r="J498" s="17">
        <f t="shared" si="38"/>
        <v>751000</v>
      </c>
      <c r="K498" s="17">
        <f t="shared" si="39"/>
        <v>-36000</v>
      </c>
    </row>
    <row r="499" spans="1:11">
      <c r="A499" s="14" t="str">
        <f>Employee_Data!A499</f>
        <v>EMP0498</v>
      </c>
      <c r="B499" s="15" t="str">
        <f>Employee_Data!B499</f>
        <v>Operations</v>
      </c>
      <c r="C499" s="16">
        <f>ROUND(Employee_Data!E499*1.05,-3)</f>
        <v>752000</v>
      </c>
      <c r="D499" s="16">
        <f>Employee_Data!E499</f>
        <v>716000</v>
      </c>
      <c r="E499" s="16">
        <f t="shared" si="35"/>
        <v>-36000</v>
      </c>
      <c r="F499" s="16">
        <f>ROUND(Employee_Data!G499*0.95,-3)</f>
        <v>33000</v>
      </c>
      <c r="G499" s="16">
        <f>Employee_Data!G499</f>
        <v>35000</v>
      </c>
      <c r="H499" s="16">
        <f t="shared" si="36"/>
        <v>2000</v>
      </c>
      <c r="I499" s="17">
        <f t="shared" si="37"/>
        <v>785000</v>
      </c>
      <c r="J499" s="17">
        <f t="shared" si="38"/>
        <v>751000</v>
      </c>
      <c r="K499" s="17">
        <f t="shared" si="39"/>
        <v>-34000</v>
      </c>
    </row>
    <row r="500" spans="1:11">
      <c r="A500" s="14" t="str">
        <f>Employee_Data!A500</f>
        <v>EMP0499</v>
      </c>
      <c r="B500" s="15" t="str">
        <f>Employee_Data!B500</f>
        <v>Operations</v>
      </c>
      <c r="C500" s="16">
        <f>ROUND(Employee_Data!E500*1.05,-3)</f>
        <v>567000</v>
      </c>
      <c r="D500" s="16">
        <f>Employee_Data!E500</f>
        <v>540000</v>
      </c>
      <c r="E500" s="16">
        <f t="shared" si="35"/>
        <v>-27000</v>
      </c>
      <c r="F500" s="16">
        <f>ROUND(Employee_Data!G500*0.95,-3)</f>
        <v>17000</v>
      </c>
      <c r="G500" s="16">
        <f>Employee_Data!G500</f>
        <v>18000</v>
      </c>
      <c r="H500" s="16">
        <f t="shared" si="36"/>
        <v>1000</v>
      </c>
      <c r="I500" s="17">
        <f t="shared" si="37"/>
        <v>584000</v>
      </c>
      <c r="J500" s="17">
        <f t="shared" si="38"/>
        <v>558000</v>
      </c>
      <c r="K500" s="17">
        <f t="shared" si="39"/>
        <v>-26000</v>
      </c>
    </row>
    <row r="501" spans="1:11">
      <c r="A501" s="14" t="str">
        <f>Employee_Data!A501</f>
        <v>EMP0500</v>
      </c>
      <c r="B501" s="15" t="str">
        <f>Employee_Data!B501</f>
        <v>Operations</v>
      </c>
      <c r="C501" s="16">
        <f>ROUND(Employee_Data!E501*1.05,-3)</f>
        <v>879000</v>
      </c>
      <c r="D501" s="16">
        <f>Employee_Data!E501</f>
        <v>837000</v>
      </c>
      <c r="E501" s="16">
        <f t="shared" si="35"/>
        <v>-42000</v>
      </c>
      <c r="F501" s="16">
        <f>ROUND(Employee_Data!G501*0.95,-3)</f>
        <v>17000</v>
      </c>
      <c r="G501" s="16">
        <f>Employee_Data!G501</f>
        <v>18000</v>
      </c>
      <c r="H501" s="16">
        <f t="shared" si="36"/>
        <v>1000</v>
      </c>
      <c r="I501" s="17">
        <f t="shared" si="37"/>
        <v>896000</v>
      </c>
      <c r="J501" s="17">
        <f t="shared" si="38"/>
        <v>855000</v>
      </c>
      <c r="K501" s="17">
        <f t="shared" si="39"/>
        <v>-41000</v>
      </c>
    </row>
  </sheetData>
  <conditionalFormatting sqref="E1:E1048576">
    <cfRule type="cellIs" dxfId="41" priority="6" operator="greaterThan">
      <formula>0</formula>
    </cfRule>
    <cfRule type="cellIs" dxfId="40" priority="5" operator="lessThan">
      <formula>0</formula>
    </cfRule>
  </conditionalFormatting>
  <conditionalFormatting sqref="H1:H1048576">
    <cfRule type="cellIs" dxfId="39" priority="4" operator="greaterThan">
      <formula>0</formula>
    </cfRule>
    <cfRule type="cellIs" dxfId="38" priority="3" operator="lessThan">
      <formula>0</formula>
    </cfRule>
  </conditionalFormatting>
  <conditionalFormatting sqref="K1:K1048576">
    <cfRule type="cellIs" dxfId="31" priority="2" operator="greaterThan">
      <formula>0</formula>
    </cfRule>
    <cfRule type="cellIs" dxfId="32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Employee_Data</vt:lpstr>
      <vt:lpstr>Workforce_Plan</vt:lpstr>
      <vt:lpstr>Workforce_KPIs</vt:lpstr>
      <vt:lpstr>Sheet3</vt:lpstr>
      <vt:lpstr>Budget_vs_Actual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Budgeting &amp; Workforce Planning Tool - 500 Employee Dataset</dc:title>
  <dc:subject>Synthetic employee and workforce planning data</dc:subject>
  <dc:creator>Synthetic portfolio dataset</dc:creator>
  <cp:lastModifiedBy>Swe</cp:lastModifiedBy>
  <dcterms:created xsi:type="dcterms:W3CDTF">2026-09-27T06:43:49Z</dcterms:created>
  <dcterms:modified xsi:type="dcterms:W3CDTF">2026-09-27T10:53:03Z</dcterms:modified>
</cp:coreProperties>
</file>